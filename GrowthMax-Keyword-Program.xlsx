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illars" sheetId="2" state="visible" r:id="rId4"/>
    <sheet name="Master Keywords" sheetId="3" state="visible" r:id="rId5"/>
    <sheet name="AEO Questions" sheetId="4" state="visible" r:id="rId6"/>
    <sheet name="Content Gaps" sheetId="5" state="visible" r:id="rId7"/>
    <sheet name="Calendar (90-day)" sheetId="6" state="visible" r:id="rId8"/>
    <sheet name="Tracking Setup" sheetId="7" state="visible" r:id="rId9"/>
    <sheet name="Quick Wins" sheetId="8" state="visible" r:id="rId10"/>
  </sheets>
  <definedNames>
    <definedName function="false" hidden="true" localSheetId="3" name="_xlnm._FilterDatabase" vbProcedure="false">'AEO Questions'!$A$4:$E$27</definedName>
    <definedName function="false" hidden="true" localSheetId="5" name="_xlnm._FilterDatabase" vbProcedure="false">'Calendar (90-day)'!$A$4:$H$30</definedName>
    <definedName function="false" hidden="true" localSheetId="4" name="_xlnm._FilterDatabase" vbProcedure="false">'Content Gaps'!$A$4:$H$34</definedName>
    <definedName function="false" hidden="true" localSheetId="2" name="_xlnm._FilterDatabase" vbProcedure="false">'Master Keywords'!$A$4:$O$60</definedName>
    <definedName function="false" hidden="true" localSheetId="7" name="_xlnm._FilterDatabase" vbProcedure="false">'Quick Wins'!$A$4:$E$18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<sst xmlns="http://schemas.openxmlformats.org/spreadsheetml/2006/main" count="1148" uniqueCount="581">
  <si>
    <t xml:space="preserve">GrowthMax — Keyword Program</t>
  </si>
  <si>
    <t xml:space="preserve">Topical authority strategy for enterprise AI leaders  •  Created April 2026</t>
  </si>
  <si>
    <t xml:space="preserve">Program summary</t>
  </si>
  <si>
    <t xml:space="preserve">Goal</t>
  </si>
  <si>
    <t xml:space="preserve">Build topical authority on Enterprise AI — custom AI agents, adoption, and augmentation — so GrowthMax ranks, gets cited by AI answer engines, and becomes the reference source enterprise leaders consult.</t>
  </si>
  <si>
    <t xml:space="preserve">Target audience</t>
  </si>
  <si>
    <t xml:space="preserve">Enterprise leaders (C-suite, SVP, VP) at 1,000+ employee organizations evaluating AI strategy, custom AI agents, and organizational adoption. Secondary: HR/L&amp;D leaders buying AI literacy programs.</t>
  </si>
  <si>
    <t xml:space="preserve">Strategy in one line</t>
  </si>
  <si>
    <t xml:space="preserve">Win 5 topical clusters by owning the pillar page + 8–12 supporting spokes per cluster, with AEO-optimized question answers embedded in every piece.</t>
  </si>
  <si>
    <t xml:space="preserve">Success metrics (track monthly)</t>
  </si>
  <si>
    <t xml:space="preserve">1) Impressions growth per cluster in GSC  2) Ranked query count (pos 1–20)  3) AI Overview / answer-engine citations  4) Organic sessions to pillar pages in GA4  5) Assisted conversions from organic.</t>
  </si>
  <si>
    <t xml:space="preserve">How to use this workbook</t>
  </si>
  <si>
    <t xml:space="preserve"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</si>
  <si>
    <t xml:space="preserve">Prioritization formula</t>
  </si>
  <si>
    <t xml:space="preserve">Priority Score = (Strategic Fit × Intent Fit) ÷ Difficulty. Scores ≥ 3.0 = Tier 1 (publish first). 1.5–3.0 = Tier 2. &lt; 1.5 = Tier 3 (defer unless quick win).</t>
  </si>
  <si>
    <t xml:space="preserve">Why no search volume numbers?</t>
  </si>
  <si>
    <t xml:space="preserve">Paid SEO tools (Ahrefs/SEMrush) aren't connected. Difficulty and intent are scored qualitatively using Google SERP inspection, GSC impressions (for existing coverage), and competitive analysis. Add volume columns when tool access is available.</t>
  </si>
  <si>
    <t xml:space="preserve">AEO (Answer Engine Optimization)</t>
  </si>
  <si>
    <t xml:space="preserve">Per project standard, every piece targets AI answer engines alongside traditional SEO. The 'AEO Questions' tab collects the question-based phrasing for FAQ schema, H2s, and answer blocks. Use one question per H2 with a 40–60 word direct answer immediately below.</t>
  </si>
  <si>
    <t xml:space="preserve">Tabs in this workbook</t>
  </si>
  <si>
    <t xml:space="preserve">Pillars</t>
  </si>
  <si>
    <t xml:space="preserve">The 5 topical clusters and which existing page anchors each one</t>
  </si>
  <si>
    <t xml:space="preserve">Master Keywords</t>
  </si>
  <si>
    <t xml:space="preserve">Every keyword with cluster, intent, funnel stage, scoring, target page, and status</t>
  </si>
  <si>
    <t xml:space="preserve">AEO Questions</t>
  </si>
  <si>
    <t xml:space="preserve">Question-based queries for Answer Engine Optimization — use as H2s and FAQ entries</t>
  </si>
  <si>
    <t xml:space="preserve">Content Gaps</t>
  </si>
  <si>
    <t xml:space="preserve">New pillar pages, spoke posts, and utility pages that don't exist yet</t>
  </si>
  <si>
    <t xml:space="preserve">Calendar (90-day)</t>
  </si>
  <si>
    <t xml:space="preserve">Proposed publish sequence for the next quarter</t>
  </si>
  <si>
    <t xml:space="preserve">Tracking Setup</t>
  </si>
  <si>
    <t xml:space="preserve">Step-by-step GSC and GA4 configuration to measure the program</t>
  </si>
  <si>
    <t xml:space="preserve">Quick Wins</t>
  </si>
  <si>
    <t xml:space="preserve">Pages that already exist and could rank with minor optimization</t>
  </si>
  <si>
    <t xml:space="preserve">Topical Pillar Architecture</t>
  </si>
  <si>
    <t xml:space="preserve">Five clusters. Each pillar page links to 8–12 spoke posts; every spoke links back to its pillar and to 2–3 sibling spokes.</t>
  </si>
  <si>
    <t xml:space="preserve">Pillar #</t>
  </si>
  <si>
    <t xml:space="preserve">Cluster name</t>
  </si>
  <si>
    <t xml:space="preserve">Anchor page (pillar)</t>
  </si>
  <si>
    <t xml:space="preserve">Page status</t>
  </si>
  <si>
    <t xml:space="preserve">Why this pillar</t>
  </si>
  <si>
    <t xml:space="preserve">Target persona intent</t>
  </si>
  <si>
    <t xml:space="preserve">Spoke count (existing → target)</t>
  </si>
  <si>
    <t xml:space="preserve">Enterprise AI Strategy</t>
  </si>
  <si>
    <t xml:space="preserve">/ai-agents-for-business/</t>
  </si>
  <si>
    <t xml:space="preserve">Exists — needs expansion to full pillar</t>
  </si>
  <si>
    <t xml:space="preserve">Captures the strategic top-of-funnel where CXOs evaluate whether and how to invest in AI. Highest authority-building opportunity.</t>
  </si>
  <si>
    <t xml:space="preserve">I need a defensible framework to brief my board and align my leadership team on AI.</t>
  </si>
  <si>
    <t xml:space="preserve">1 → 10</t>
  </si>
  <si>
    <t xml:space="preserve">Custom AI Agents for Enterprise</t>
  </si>
  <si>
    <t xml:space="preserve">/solutions/agent-development/</t>
  </si>
  <si>
    <t xml:space="preserve">Exists — solution page, needs supporting educational hub</t>
  </si>
  <si>
    <t xml:space="preserve">Core commercial offering. Owns the product category that mid-market and enterprise buyers are researching before shortlisting vendors.</t>
  </si>
  <si>
    <t xml:space="preserve">I'm considering custom AI agents — I need to understand architecture, cost, build vs. buy, and realistic use cases.</t>
  </si>
  <si>
    <t xml:space="preserve">2 → 10</t>
  </si>
  <si>
    <t xml:space="preserve">AI Adoption &amp; Change Management</t>
  </si>
  <si>
    <t xml:space="preserve">/resources/ai-adoption-playbook/ (NEW)</t>
  </si>
  <si>
    <t xml:space="preserve">Gap — create new pillar</t>
  </si>
  <si>
    <t xml:space="preserve">Strongest existing blog concentration (5 posts). Becomes the 'GrowthMax point of view' cluster. Answer-engine magnet for 'why AI projects fail' style queries.</t>
  </si>
  <si>
    <t xml:space="preserve">We bought AI tools and adoption stalled. How do we actually get our people to use this?</t>
  </si>
  <si>
    <t xml:space="preserve">5 → 12</t>
  </si>
  <si>
    <t xml:space="preserve">Enterprise AI Literacy &amp; Training</t>
  </si>
  <si>
    <t xml:space="preserve">/solutions/foundations/ + /solutions/bootcamp/ (split pillar)</t>
  </si>
  <si>
    <t xml:space="preserve">Exists — two commercial pages, no educational hub</t>
  </si>
  <si>
    <t xml:space="preserve">Training is a distinct buying committee (CHRO / CLO / Head of L&amp;D). Needs its own content path separated from the strategy and agent clusters.</t>
  </si>
  <si>
    <t xml:space="preserve">I'm responsible for upskilling our workforce on AI. I need to pick a program that actually works.</t>
  </si>
  <si>
    <t xml:space="preserve">0 → 8</t>
  </si>
  <si>
    <t xml:space="preserve">AI Augmentation (Partnership Model)</t>
  </si>
  <si>
    <t xml:space="preserve">/partnership/ (NEW) — or evolve homepage narrative</t>
  </si>
  <si>
    <t xml:space="preserve">Gap — create new manifesto/philosophy pillar</t>
  </si>
  <si>
    <t xml:space="preserve">The brand's signature POV ('Partnership. Not Replacement.') has no dedicated home. This is the cluster that differentiates GrowthMax from every other AI vendor.</t>
  </si>
  <si>
    <t xml:space="preserve">I believe AI should augment my people, not replace them — who thinks this way and has a framework for it?</t>
  </si>
  <si>
    <t xml:space="preserve">1 → 8</t>
  </si>
  <si>
    <t xml:space="preserve">Master Keyword List</t>
  </si>
  <si>
    <t xml:space="preserve">Filter this tab. Priority Score = (Strategic Fit × Intent Fit) ÷ Difficulty. Tier 1 ≥ 3.0, Tier 2 = 1.5–3.0, Tier 3 &lt; 1.5.</t>
  </si>
  <si>
    <t xml:space="preserve">ID</t>
  </si>
  <si>
    <t xml:space="preserve">Pillar</t>
  </si>
  <si>
    <t xml:space="preserve">Keyword / query</t>
  </si>
  <si>
    <t xml:space="preserve">Search intent</t>
  </si>
  <si>
    <t xml:space="preserve">Funnel stage</t>
  </si>
  <si>
    <t xml:space="preserve">Strategic fit (1-3)</t>
  </si>
  <si>
    <t xml:space="preserve">Intent fit (1-3)</t>
  </si>
  <si>
    <t xml:space="preserve">Difficulty (1-3)</t>
  </si>
  <si>
    <t xml:space="preserve">Priority score</t>
  </si>
  <si>
    <t xml:space="preserve">Tier</t>
  </si>
  <si>
    <t xml:space="preserve">Target page</t>
  </si>
  <si>
    <t xml:space="preserve">Page exists?</t>
  </si>
  <si>
    <t xml:space="preserve">Content action</t>
  </si>
  <si>
    <t xml:space="preserve">Status</t>
  </si>
  <si>
    <t xml:space="preserve">Notes</t>
  </si>
  <si>
    <t xml:space="preserve">K001</t>
  </si>
  <si>
    <t xml:space="preserve">enterprise AI strategy</t>
  </si>
  <si>
    <t xml:space="preserve">Informational</t>
  </si>
  <si>
    <t xml:space="preserve">TOFU</t>
  </si>
  <si>
    <t xml:space="preserve">Yes</t>
  </si>
  <si>
    <t xml:space="preserve">Expand pillar; add framework section + H2 for this term</t>
  </si>
  <si>
    <t xml:space="preserve">Not started</t>
  </si>
  <si>
    <t xml:space="preserve">Head term — own via pillar depth + internal linking</t>
  </si>
  <si>
    <t xml:space="preserve">K002</t>
  </si>
  <si>
    <t xml:space="preserve">AI strategy for large organizations</t>
  </si>
  <si>
    <t xml:space="preserve">Add section on org-size considerations</t>
  </si>
  <si>
    <t xml:space="preserve">Long-tail variant — easier to rank</t>
  </si>
  <si>
    <t xml:space="preserve">K003</t>
  </si>
  <si>
    <t xml:space="preserve">AI transformation roadmap</t>
  </si>
  <si>
    <t xml:space="preserve">NEW blog: AI transformation roadmap framework</t>
  </si>
  <si>
    <t xml:space="preserve">No</t>
  </si>
  <si>
    <t xml:space="preserve">New 2,000-word spoke post with downloadable template</t>
  </si>
  <si>
    <t xml:space="preserve">Pairs well with lead magnet</t>
  </si>
  <si>
    <t xml:space="preserve">K004</t>
  </si>
  <si>
    <t xml:space="preserve">AI readiness assessment</t>
  </si>
  <si>
    <t xml:space="preserve">MOFU</t>
  </si>
  <si>
    <t xml:space="preserve">NEW blog: AI readiness self-assessment</t>
  </si>
  <si>
    <t xml:space="preserve">Spoke post + interactive checklist (use Typeform/Tally)</t>
  </si>
  <si>
    <t xml:space="preserve">High lead-capture potential</t>
  </si>
  <si>
    <t xml:space="preserve">K005</t>
  </si>
  <si>
    <t xml:space="preserve">AI maturity model</t>
  </si>
  <si>
    <t xml:space="preserve">NEW blog: AI maturity model for enterprise</t>
  </si>
  <si>
    <t xml:space="preserve">Spoke post — cite established models, add GrowthMax variant</t>
  </si>
  <si>
    <t xml:space="preserve">Good for backlink acquisition</t>
  </si>
  <si>
    <t xml:space="preserve">K006</t>
  </si>
  <si>
    <t xml:space="preserve">AI governance framework</t>
  </si>
  <si>
    <t xml:space="preserve">NEW blog: AI governance for enterprise</t>
  </si>
  <si>
    <t xml:space="preserve">Spoke post covering policy, risk, oversight committees</t>
  </si>
  <si>
    <t xml:space="preserve">Aligns with enterprise compliance concerns</t>
  </si>
  <si>
    <t xml:space="preserve">K007</t>
  </si>
  <si>
    <t xml:space="preserve">AI center of excellence</t>
  </si>
  <si>
    <t xml:space="preserve">NEW blog: AI Center of Excellence playbook</t>
  </si>
  <si>
    <t xml:space="preserve">Spoke post on structure, staffing, charter</t>
  </si>
  <si>
    <t xml:space="preserve">Decision-maker query</t>
  </si>
  <si>
    <t xml:space="preserve">K008</t>
  </si>
  <si>
    <t xml:space="preserve">build vs buy AI</t>
  </si>
  <si>
    <t xml:space="preserve">Commercial</t>
  </si>
  <si>
    <t xml:space="preserve">existing blog: custom-ai-agents-vs-off-shelf</t>
  </si>
  <si>
    <t xml:space="preserve">Optimize existing post — add 'build vs buy' H2 and FAQ schema</t>
  </si>
  <si>
    <t xml:space="preserve">Already positioned; minor rewrite</t>
  </si>
  <si>
    <t xml:space="preserve">K009</t>
  </si>
  <si>
    <t xml:space="preserve">AI vendor selection criteria</t>
  </si>
  <si>
    <t xml:space="preserve">NEW blog: How to evaluate AI vendors</t>
  </si>
  <si>
    <t xml:space="preserve">Spoke post with scorecard</t>
  </si>
  <si>
    <t xml:space="preserve">Bottom-funnel lead magnet</t>
  </si>
  <si>
    <t xml:space="preserve">K010</t>
  </si>
  <si>
    <t xml:space="preserve">AI business case template</t>
  </si>
  <si>
    <t xml:space="preserve">NEW blog: Building the AI business case</t>
  </si>
  <si>
    <t xml:space="preserve">Spoke with downloadable template (Google Docs)</t>
  </si>
  <si>
    <t xml:space="preserve">Strong email capture angle</t>
  </si>
  <si>
    <t xml:space="preserve">K011</t>
  </si>
  <si>
    <t xml:space="preserve">AI pilot to production</t>
  </si>
  <si>
    <t xml:space="preserve">NEW blog: From pilot to production</t>
  </si>
  <si>
    <t xml:space="preserve">Spoke post — uncommon angle, lower competition</t>
  </si>
  <si>
    <t xml:space="preserve">Tier 1 quick win</t>
  </si>
  <si>
    <t xml:space="preserve">K012</t>
  </si>
  <si>
    <t xml:space="preserve">AI total cost of ownership</t>
  </si>
  <si>
    <t xml:space="preserve">existing blog: hidden-costs-ai-implementation</t>
  </si>
  <si>
    <t xml:space="preserve">Re-target existing post to rank for TCO phrasing</t>
  </si>
  <si>
    <t xml:space="preserve">Swap a few H2s</t>
  </si>
  <si>
    <t xml:space="preserve">K013</t>
  </si>
  <si>
    <t xml:space="preserve">AI investment prioritization</t>
  </si>
  <si>
    <t xml:space="preserve">NEW blog: How to prioritize AI investments</t>
  </si>
  <si>
    <t xml:space="preserve">Spoke post using ICE/RICE frameworks</t>
  </si>
  <si>
    <t xml:space="preserve">Niche but valuable</t>
  </si>
  <si>
    <t xml:space="preserve">K014</t>
  </si>
  <si>
    <t xml:space="preserve">custom AI agents for enterprise</t>
  </si>
  <si>
    <t xml:space="preserve">BOFU</t>
  </si>
  <si>
    <t xml:space="preserve">Optimize H1 and meta; add enterprise-specific proof section</t>
  </si>
  <si>
    <t xml:space="preserve">Category-defining term</t>
  </si>
  <si>
    <t xml:space="preserve">K015</t>
  </si>
  <si>
    <t xml:space="preserve">enterprise AI agent development</t>
  </si>
  <si>
    <t xml:space="preserve">Add H2 + FAQ schema</t>
  </si>
  <si>
    <t xml:space="preserve">Synonym of above</t>
  </si>
  <si>
    <t xml:space="preserve">K016</t>
  </si>
  <si>
    <t xml:space="preserve">AI agent architecture</t>
  </si>
  <si>
    <t xml:space="preserve">NEW blog: AI agent architecture explained</t>
  </si>
  <si>
    <t xml:space="preserve">Spoke post with diagram (SVG); link to pillar</t>
  </si>
  <si>
    <t xml:space="preserve">Attracts technical stakeholders</t>
  </si>
  <si>
    <t xml:space="preserve">K017</t>
  </si>
  <si>
    <t xml:space="preserve">AI agent vs AI assistant</t>
  </si>
  <si>
    <t xml:space="preserve">NEW blog: AI agent vs AI assistant vs chatbot</t>
  </si>
  <si>
    <t xml:space="preserve">Spoke post — definitional; high AEO capture</t>
  </si>
  <si>
    <t xml:space="preserve">K018</t>
  </si>
  <si>
    <t xml:space="preserve">AI agent security</t>
  </si>
  <si>
    <t xml:space="preserve">NEW blog: Enterprise AI agent security</t>
  </si>
  <si>
    <t xml:space="preserve">Spoke post — covers SSO, data handling, audit trails</t>
  </si>
  <si>
    <t xml:space="preserve">Enterprise blocker topic</t>
  </si>
  <si>
    <t xml:space="preserve">K019</t>
  </si>
  <si>
    <t xml:space="preserve">AI agent integration</t>
  </si>
  <si>
    <t xml:space="preserve">NEW blog: Integrating AI agents with enterprise systems</t>
  </si>
  <si>
    <t xml:space="preserve">Spoke post (Salesforce, Workday, SAP examples)</t>
  </si>
  <si>
    <t xml:space="preserve">Good for partner co-marketing</t>
  </si>
  <si>
    <t xml:space="preserve">K020</t>
  </si>
  <si>
    <t xml:space="preserve">AI agents for operations teams</t>
  </si>
  <si>
    <t xml:space="preserve">NEW blog: AI agents for operations</t>
  </si>
  <si>
    <t xml:space="preserve">Use-case spoke post</t>
  </si>
  <si>
    <t xml:space="preserve">Tier 1 — low difficulty</t>
  </si>
  <si>
    <t xml:space="preserve">K021</t>
  </si>
  <si>
    <t xml:space="preserve">AI agents for finance teams</t>
  </si>
  <si>
    <t xml:space="preserve">NEW blog: AI agents for finance</t>
  </si>
  <si>
    <t xml:space="preserve">K022</t>
  </si>
  <si>
    <t xml:space="preserve">AI agents for HR</t>
  </si>
  <si>
    <t xml:space="preserve">NEW blog: AI agents for HR and People teams</t>
  </si>
  <si>
    <t xml:space="preserve">K023</t>
  </si>
  <si>
    <t xml:space="preserve">AI agent cost</t>
  </si>
  <si>
    <t xml:space="preserve">NEW blog: What does a custom AI agent cost</t>
  </si>
  <si>
    <t xml:space="preserve">Spoke with ranges and cost-driver breakdown</t>
  </si>
  <si>
    <t xml:space="preserve">High commercial intent — answer engines love cost queries</t>
  </si>
  <si>
    <t xml:space="preserve">K024</t>
  </si>
  <si>
    <t xml:space="preserve">AI agent evaluation</t>
  </si>
  <si>
    <t xml:space="preserve">NEW blog: How to evaluate an AI agent</t>
  </si>
  <si>
    <t xml:space="preserve">Spoke post — eval frameworks, metrics</t>
  </si>
  <si>
    <t xml:space="preserve">Emerging topic</t>
  </si>
  <si>
    <t xml:space="preserve">K025</t>
  </si>
  <si>
    <t xml:space="preserve">AI agent observability</t>
  </si>
  <si>
    <t xml:space="preserve">Defer</t>
  </si>
  <si>
    <t xml:space="preserve">Defer — too technical for target persona</t>
  </si>
  <si>
    <t xml:space="preserve">Tier 3</t>
  </si>
  <si>
    <t xml:space="preserve">K026</t>
  </si>
  <si>
    <t xml:space="preserve">AI agent use cases</t>
  </si>
  <si>
    <t xml:space="preserve">/solutions/agent-development/#use-cases</t>
  </si>
  <si>
    <t xml:space="preserve">Partial</t>
  </si>
  <si>
    <t xml:space="preserve">Add use-case grid to solution page</t>
  </si>
  <si>
    <t xml:space="preserve">Head term; win via depth</t>
  </si>
  <si>
    <t xml:space="preserve">K027</t>
  </si>
  <si>
    <t xml:space="preserve">AI adoption strategy</t>
  </si>
  <si>
    <t xml:space="preserve">NEW pillar: AI Adoption Playbook</t>
  </si>
  <si>
    <t xml:space="preserve">New pillar page 3,000+ words consolidating 5 existing posts</t>
  </si>
  <si>
    <t xml:space="preserve">Primary new pillar to build</t>
  </si>
  <si>
    <t xml:space="preserve">K028</t>
  </si>
  <si>
    <t xml:space="preserve">AI change management</t>
  </si>
  <si>
    <t xml:space="preserve">NEW pillar: AI Adoption Playbook (section)</t>
  </si>
  <si>
    <t xml:space="preserve">Dedicated H2 + spoke post</t>
  </si>
  <si>
    <t xml:space="preserve">Tier 1</t>
  </si>
  <si>
    <t xml:space="preserve">K029</t>
  </si>
  <si>
    <t xml:space="preserve">why AI implementations fail</t>
  </si>
  <si>
    <t xml:space="preserve">existing blog: why-ai-implementations-fail</t>
  </si>
  <si>
    <t xml:space="preserve">Optimize FAQ schema, add updated stats, republish</t>
  </si>
  <si>
    <t xml:space="preserve">Already ranking-worthy</t>
  </si>
  <si>
    <t xml:space="preserve">K030</t>
  </si>
  <si>
    <t xml:space="preserve">90 day AI adoption plan</t>
  </si>
  <si>
    <t xml:space="preserve">existing blog: 90-day-ai-adoption-timeline</t>
  </si>
  <si>
    <t xml:space="preserve">Add AEO FAQ block; link from pillar</t>
  </si>
  <si>
    <t xml:space="preserve">K031</t>
  </si>
  <si>
    <t xml:space="preserve">AI adoption framework</t>
  </si>
  <si>
    <t xml:space="preserve">NEW blog: GrowthMax AI adoption framework</t>
  </si>
  <si>
    <t xml:space="preserve">Proprietary framework spoke post</t>
  </si>
  <si>
    <t xml:space="preserve">Brand-building asset</t>
  </si>
  <si>
    <t xml:space="preserve">K032</t>
  </si>
  <si>
    <t xml:space="preserve">measuring AI adoption</t>
  </si>
  <si>
    <t xml:space="preserve">NEW blog: AI adoption metrics that matter</t>
  </si>
  <si>
    <t xml:space="preserve">Spoke post — low competition</t>
  </si>
  <si>
    <t xml:space="preserve">K033</t>
  </si>
  <si>
    <t xml:space="preserve">AI employee resistance</t>
  </si>
  <si>
    <t xml:space="preserve">existing blog: where-do-i-fit-crisis</t>
  </si>
  <si>
    <t xml:space="preserve">Retitle/expand to target this phrase</t>
  </si>
  <si>
    <t xml:space="preserve">Good for AEO on emotional queries</t>
  </si>
  <si>
    <t xml:space="preserve">K034</t>
  </si>
  <si>
    <t xml:space="preserve">AI anxiety workforce</t>
  </si>
  <si>
    <t xml:space="preserve">Add as secondary keyword</t>
  </si>
  <si>
    <t xml:space="preserve">Empathetic POV — brand-aligned</t>
  </si>
  <si>
    <t xml:space="preserve">K035</t>
  </si>
  <si>
    <t xml:space="preserve">people-first AI strategy</t>
  </si>
  <si>
    <t xml:space="preserve">existing blog: people-first-ai-strategy</t>
  </si>
  <si>
    <t xml:space="preserve">Already strong — add FAQ schema</t>
  </si>
  <si>
    <t xml:space="preserve">Tier 1 maintenance</t>
  </si>
  <si>
    <t xml:space="preserve">K036</t>
  </si>
  <si>
    <t xml:space="preserve">AI implementation timeline</t>
  </si>
  <si>
    <t xml:space="preserve">Secondary keyword</t>
  </si>
  <si>
    <t xml:space="preserve">Capture via existing post</t>
  </si>
  <si>
    <t xml:space="preserve">K037</t>
  </si>
  <si>
    <t xml:space="preserve">AI rollout plan</t>
  </si>
  <si>
    <t xml:space="preserve">NEW blog: AI rollout plan template</t>
  </si>
  <si>
    <t xml:space="preserve">Spoke with downloadable template</t>
  </si>
  <si>
    <t xml:space="preserve">Lead magnet</t>
  </si>
  <si>
    <t xml:space="preserve">K038</t>
  </si>
  <si>
    <t xml:space="preserve">AI adoption metrics KPIs</t>
  </si>
  <si>
    <t xml:space="preserve">Same post as 'measuring AI adoption'</t>
  </si>
  <si>
    <t xml:space="preserve">Covered by single spoke</t>
  </si>
  <si>
    <t xml:space="preserve">K039</t>
  </si>
  <si>
    <t xml:space="preserve">enterprise AI training</t>
  </si>
  <si>
    <t xml:space="preserve">/solutions/foundations/</t>
  </si>
  <si>
    <t xml:space="preserve">Add H2 targeting this; link from new literacy pillar</t>
  </si>
  <si>
    <t xml:space="preserve">Head commercial term</t>
  </si>
  <si>
    <t xml:space="preserve">K040</t>
  </si>
  <si>
    <t xml:space="preserve">AI literacy program</t>
  </si>
  <si>
    <t xml:space="preserve">Strong existing positioning</t>
  </si>
  <si>
    <t xml:space="preserve">K041</t>
  </si>
  <si>
    <t xml:space="preserve">AI training for executives</t>
  </si>
  <si>
    <t xml:space="preserve">NEW blog: Executive AI training guide</t>
  </si>
  <si>
    <t xml:space="preserve">Spoke post — low competition, high-value persona</t>
  </si>
  <si>
    <t xml:space="preserve">K042</t>
  </si>
  <si>
    <t xml:space="preserve">AI bootcamp for engineers</t>
  </si>
  <si>
    <t xml:space="preserve">/solutions/bootcamp/</t>
  </si>
  <si>
    <t xml:space="preserve">Optimize meta description; add FAQ</t>
  </si>
  <si>
    <t xml:space="preserve">Already ranking-eligible</t>
  </si>
  <si>
    <t xml:space="preserve">K043</t>
  </si>
  <si>
    <t xml:space="preserve">AI skills for employees</t>
  </si>
  <si>
    <t xml:space="preserve">NEW blog: Essential AI skills for the modern workforce</t>
  </si>
  <si>
    <t xml:space="preserve">Spoke post</t>
  </si>
  <si>
    <t xml:space="preserve">Tier 2</t>
  </si>
  <si>
    <t xml:space="preserve">K044</t>
  </si>
  <si>
    <t xml:space="preserve">AI upskilling enterprise</t>
  </si>
  <si>
    <t xml:space="preserve">NEW blog: How to upskill your org on AI</t>
  </si>
  <si>
    <t xml:space="preserve">Spoke post linking to both training solutions</t>
  </si>
  <si>
    <t xml:space="preserve">K045</t>
  </si>
  <si>
    <t xml:space="preserve">AI literacy curriculum</t>
  </si>
  <si>
    <t xml:space="preserve">NEW blog: What belongs in an AI literacy curriculum</t>
  </si>
  <si>
    <t xml:space="preserve">K046</t>
  </si>
  <si>
    <t xml:space="preserve">AI training ROI</t>
  </si>
  <si>
    <t xml:space="preserve">NEW blog: Measuring ROI on AI training</t>
  </si>
  <si>
    <t xml:space="preserve">Spoke with framework</t>
  </si>
  <si>
    <t xml:space="preserve">Budget-defense asset</t>
  </si>
  <si>
    <t xml:space="preserve">K047</t>
  </si>
  <si>
    <t xml:space="preserve">custom AI training for companies</t>
  </si>
  <si>
    <t xml:space="preserve">Add H2 + case study</t>
  </si>
  <si>
    <t xml:space="preserve">BOFU conversion driver</t>
  </si>
  <si>
    <t xml:space="preserve">K048</t>
  </si>
  <si>
    <t xml:space="preserve">AI augmentation</t>
  </si>
  <si>
    <t xml:space="preserve">NEW pillar: /partnership/ (AI Partnership Manifesto)</t>
  </si>
  <si>
    <t xml:space="preserve">New pillar page</t>
  </si>
  <si>
    <t xml:space="preserve">Brand-owned narrative</t>
  </si>
  <si>
    <t xml:space="preserve">K049</t>
  </si>
  <si>
    <t xml:space="preserve">human AI collaboration</t>
  </si>
  <si>
    <t xml:space="preserve">NEW pillar: /partnership/ — H2</t>
  </si>
  <si>
    <t xml:space="preserve">Part of new pillar</t>
  </si>
  <si>
    <t xml:space="preserve">K050</t>
  </si>
  <si>
    <t xml:space="preserve">AI partnership model</t>
  </si>
  <si>
    <t xml:space="preserve">existing blog: partnership-not-replacement</t>
  </si>
  <si>
    <t xml:space="preserve">Already brand-owned phrase — strengthen with pillar page</t>
  </si>
  <si>
    <t xml:space="preserve">K051</t>
  </si>
  <si>
    <t xml:space="preserve">augmentation vs automation</t>
  </si>
  <si>
    <t xml:space="preserve">NEW blog: Augmentation vs automation</t>
  </si>
  <si>
    <t xml:space="preserve">Spoke post — definitional, strong AEO angle</t>
  </si>
  <si>
    <t xml:space="preserve">K052</t>
  </si>
  <si>
    <t xml:space="preserve">will AI replace my job</t>
  </si>
  <si>
    <t xml:space="preserve">NEW blog: Will AI replace your job — an honest answer</t>
  </si>
  <si>
    <t xml:space="preserve">Spoke with nuanced POV</t>
  </si>
  <si>
    <t xml:space="preserve">High-volume AEO capture</t>
  </si>
  <si>
    <t xml:space="preserve">K053</t>
  </si>
  <si>
    <t xml:space="preserve">human in the loop AI</t>
  </si>
  <si>
    <t xml:space="preserve">NEW blog: Human-in-the-loop AI for enterprise</t>
  </si>
  <si>
    <t xml:space="preserve">K054</t>
  </si>
  <si>
    <t xml:space="preserve">responsible AI enterprise</t>
  </si>
  <si>
    <t xml:space="preserve">NEW blog: Responsible AI for enterprise leaders</t>
  </si>
  <si>
    <t xml:space="preserve">Tier 2 — competitive</t>
  </si>
  <si>
    <t xml:space="preserve">K055</t>
  </si>
  <si>
    <t xml:space="preserve">AI copilot strategy</t>
  </si>
  <si>
    <t xml:space="preserve">NEW blog: Building an AI copilot strategy</t>
  </si>
  <si>
    <t xml:space="preserve">K056</t>
  </si>
  <si>
    <t xml:space="preserve">future of work AI</t>
  </si>
  <si>
    <t xml:space="preserve">Defer — crowded by consultancies</t>
  </si>
  <si>
    <t xml:space="preserve">Answer Engine Optimization — Question Bank</t>
  </si>
  <si>
    <t xml:space="preserve">Use each question as an H2 with a 40–60 word direct answer immediately below. Wrap in FAQPage schema on spoke posts, HowTo schema where relevant.</t>
  </si>
  <si>
    <t xml:space="preserve">Question</t>
  </si>
  <si>
    <t xml:space="preserve">Answer angle (one-sentence brief)</t>
  </si>
  <si>
    <t xml:space="preserve">Schema type</t>
  </si>
  <si>
    <t xml:space="preserve">How do you build an enterprise AI strategy?</t>
  </si>
  <si>
    <t xml:space="preserve">Start with the business outcome, map to 3 candidate use cases, pilot the highest-ROI one with one custom agent, then scale.</t>
  </si>
  <si>
    <t xml:space="preserve">FAQPage</t>
  </si>
  <si>
    <t xml:space="preserve">What is an AI center of excellence?</t>
  </si>
  <si>
    <t xml:space="preserve">A small cross-functional team that owns AI standards, vendor relationships, and adoption patterns — typically 3–5 people in a 1,000-person org.</t>
  </si>
  <si>
    <t xml:space="preserve">NEW: AI CoE playbook</t>
  </si>
  <si>
    <t xml:space="preserve">Should we build or buy AI agents?</t>
  </si>
  <si>
    <t xml:space="preserve">Build when the agent touches your differentiated judgment; buy when the task is generic and commoditized.</t>
  </si>
  <si>
    <t xml:space="preserve">What does an AI business case look like?</t>
  </si>
  <si>
    <t xml:space="preserve">Three things: the human decision being augmented, the hours or error-rate saved, and the realistic adoption curve.</t>
  </si>
  <si>
    <t xml:space="preserve">NEW: AI business case</t>
  </si>
  <si>
    <t xml:space="preserve">How do we assess AI readiness?</t>
  </si>
  <si>
    <t xml:space="preserve">Check four dimensions: data accessibility, executive sponsorship, process documentation, and the team's tolerance for iteration.</t>
  </si>
  <si>
    <t xml:space="preserve">NEW: AI readiness assessment</t>
  </si>
  <si>
    <t xml:space="preserve">What is a custom AI agent?</t>
  </si>
  <si>
    <t xml:space="preserve">An AI system purpose-built for one role's workflow — with access to that role's tools and data — rather than a generic chatbot.</t>
  </si>
  <si>
    <t xml:space="preserve">How is an AI agent different from a chatbot?</t>
  </si>
  <si>
    <t xml:space="preserve">Agents take actions inside your systems; chatbots only produce text. Agents have tools, memory, and goals.</t>
  </si>
  <si>
    <t xml:space="preserve">NEW: AI agent vs chatbot</t>
  </si>
  <si>
    <t xml:space="preserve">How long does it take to build an AI agent?</t>
  </si>
  <si>
    <t xml:space="preserve">A focused first agent typically takes 6–12 weeks from scoping to production for a team-scale use case.</t>
  </si>
  <si>
    <t xml:space="preserve">NEW: AI agent cost/timeline</t>
  </si>
  <si>
    <t xml:space="preserve">What does a custom AI agent cost?</t>
  </si>
  <si>
    <t xml:space="preserve">Expect $40k–$250k for a team-scale first agent depending on integrations, eval depth, and security review requirements.</t>
  </si>
  <si>
    <t xml:space="preserve">NEW: AI agent cost</t>
  </si>
  <si>
    <t xml:space="preserve">What are good first AI agent use cases?</t>
  </si>
  <si>
    <t xml:space="preserve">Choose a repeatable task the role already does, with clear inputs, judgment-heavy decisions, and a 10x frequency over one-off work.</t>
  </si>
  <si>
    <t xml:space="preserve">existing blog: your-first-ai-agent</t>
  </si>
  <si>
    <t xml:space="preserve">Why do most AI implementations fail?</t>
  </si>
  <si>
    <t xml:space="preserve">Not technology — organizational disorientation. People don't know how AI changes their role, so adoption stalls.</t>
  </si>
  <si>
    <t xml:space="preserve">How do we get employees to actually use AI tools?</t>
  </si>
  <si>
    <t xml:space="preserve">Give them an agent built for their role, not a generic tool; measure adoption weekly for the first 90 days.</t>
  </si>
  <si>
    <t xml:space="preserve">What is a 90-day AI adoption plan?</t>
  </si>
  <si>
    <t xml:space="preserve">Four phases: define the use case, build the first agent, run a 30-day pilot with one team, then scale with documented patterns.</t>
  </si>
  <si>
    <t xml:space="preserve">HowTo</t>
  </si>
  <si>
    <t xml:space="preserve">How do we measure AI adoption?</t>
  </si>
  <si>
    <t xml:space="preserve">Track active users per agent per week, task completion rate, and self-reported time saved — not license counts.</t>
  </si>
  <si>
    <t xml:space="preserve">NEW: AI adoption metrics</t>
  </si>
  <si>
    <t xml:space="preserve">How do we handle employee resistance to AI?</t>
  </si>
  <si>
    <t xml:space="preserve">Address the 'where do I fit?' question directly. Show how the agent amplifies their judgment rather than replaces it.</t>
  </si>
  <si>
    <t xml:space="preserve">What should executives know about AI?</t>
  </si>
  <si>
    <t xml:space="preserve">Four things: how LLMs fail, what an agent is, realistic costs and timelines, and their own role in unblocking adoption.</t>
  </si>
  <si>
    <t xml:space="preserve">NEW: Executive AI training guide</t>
  </si>
  <si>
    <t xml:space="preserve">What is enterprise AI literacy?</t>
  </si>
  <si>
    <t xml:space="preserve">The organization-wide ability to evaluate AI output critically, work with AI agents productively, and recognize appropriate use cases.</t>
  </si>
  <si>
    <t xml:space="preserve">How do we measure ROI on AI training?</t>
  </si>
  <si>
    <t xml:space="preserve">Track behavior change: agent usage per trained employee, AI-assisted task completion rate, and reduction in escalations to the AI team.</t>
  </si>
  <si>
    <t xml:space="preserve">NEW: AI training ROI</t>
  </si>
  <si>
    <t xml:space="preserve">What's the best AI training for enterprise teams?</t>
  </si>
  <si>
    <t xml:space="preserve">Role-specific training paired with a real agent to practice on — generic 'prompt engineering' courses have poor transfer.</t>
  </si>
  <si>
    <t xml:space="preserve">What is AI augmentation?</t>
  </si>
  <si>
    <t xml:space="preserve">Using AI to amplify a human's judgment and output — where the human remains the decision-maker — rather than automating the human out.</t>
  </si>
  <si>
    <t xml:space="preserve">NEW: /partnership/ pillar</t>
  </si>
  <si>
    <t xml:space="preserve">What is human-in-the-loop AI?</t>
  </si>
  <si>
    <t xml:space="preserve">A design pattern where the AI proposes and the human approves, used when stakes are high or judgment is novel.</t>
  </si>
  <si>
    <t xml:space="preserve">NEW: HITL for enterprise</t>
  </si>
  <si>
    <t xml:space="preserve">Will AI replace my job?</t>
  </si>
  <si>
    <t xml:space="preserve">Most likely: parts of it. The question isn't whether AI changes your work — it's whether you shape that change or have it shaped for you.</t>
  </si>
  <si>
    <t xml:space="preserve">NEW: Will AI replace your job</t>
  </si>
  <si>
    <t xml:space="preserve">What's the difference between AI automation and augmentation?</t>
  </si>
  <si>
    <t xml:space="preserve">Automation removes the human from the loop. Augmentation keeps the human as the decision-maker and amplifies their work.</t>
  </si>
  <si>
    <t xml:space="preserve">NEW: Augmentation vs automation</t>
  </si>
  <si>
    <t xml:space="preserve">Content Gaps — New Pages Needed</t>
  </si>
  <si>
    <t xml:space="preserve">Everything that doesn't exist yet. Pillar pages come first, then Tier 1 spokes.</t>
  </si>
  <si>
    <t xml:space="preserve">Type</t>
  </si>
  <si>
    <t xml:space="preserve">Proposed URL</t>
  </si>
  <si>
    <t xml:space="preserve">Working title</t>
  </si>
  <si>
    <t xml:space="preserve">Primary keyword</t>
  </si>
  <si>
    <t xml:space="preserve">Approx. word count</t>
  </si>
  <si>
    <t xml:space="preserve">Priority</t>
  </si>
  <si>
    <t xml:space="preserve">Dependency</t>
  </si>
  <si>
    <t xml:space="preserve">Pillar page</t>
  </si>
  <si>
    <t xml:space="preserve">/resources/ai-adoption-playbook/</t>
  </si>
  <si>
    <t xml:space="preserve">The AI Adoption Playbook: A People-First Framework</t>
  </si>
  <si>
    <t xml:space="preserve">Consolidates 5 existing adoption posts</t>
  </si>
  <si>
    <t xml:space="preserve">/partnership/</t>
  </si>
  <si>
    <t xml:space="preserve">AI Partnership, Not Replacement: The Operating Model</t>
  </si>
  <si>
    <t xml:space="preserve">Evolves homepage narrative into dedicated page</t>
  </si>
  <si>
    <t xml:space="preserve">Pillar expansion</t>
  </si>
  <si>
    <t xml:space="preserve">Expand existing guide into full pillar (framework, CoE, governance)</t>
  </si>
  <si>
    <t xml:space="preserve">+1500</t>
  </si>
  <si>
    <t xml:space="preserve">None — edit existing page</t>
  </si>
  <si>
    <t xml:space="preserve">Hub page</t>
  </si>
  <si>
    <t xml:space="preserve">/resources/ai-literacy/</t>
  </si>
  <si>
    <t xml:space="preserve">Enterprise AI Literacy Resource Hub</t>
  </si>
  <si>
    <t xml:space="preserve">Depends on 2–3 spoke posts existing first</t>
  </si>
  <si>
    <t xml:space="preserve">/blog/ai-transformation-roadmap/</t>
  </si>
  <si>
    <t xml:space="preserve">The 12-Month AI Transformation Roadmap</t>
  </si>
  <si>
    <t xml:space="preserve">None</t>
  </si>
  <si>
    <t xml:space="preserve">/blog/ai-readiness-assessment/</t>
  </si>
  <si>
    <t xml:space="preserve">Is Your Organization AI-Ready? A Self-Assessment</t>
  </si>
  <si>
    <t xml:space="preserve">Add Typeform/Tally interactive</t>
  </si>
  <si>
    <t xml:space="preserve">/blog/ai-governance-framework/</t>
  </si>
  <si>
    <t xml:space="preserve">AI Governance for Enterprise: A Framework</t>
  </si>
  <si>
    <t xml:space="preserve">/blog/ai-center-of-excellence/</t>
  </si>
  <si>
    <t xml:space="preserve">The AI Center of Excellence Playbook</t>
  </si>
  <si>
    <t xml:space="preserve">/blog/ai-business-case/</t>
  </si>
  <si>
    <t xml:space="preserve">Building the AI Business Case</t>
  </si>
  <si>
    <t xml:space="preserve">Include Google Doc template</t>
  </si>
  <si>
    <t xml:space="preserve">/blog/ai-vendor-selection/</t>
  </si>
  <si>
    <t xml:space="preserve">How to Evaluate AI Vendors (Scorecard Included)</t>
  </si>
  <si>
    <t xml:space="preserve">Include scorecard download</t>
  </si>
  <si>
    <t xml:space="preserve">/blog/ai-pilot-to-production/</t>
  </si>
  <si>
    <t xml:space="preserve">From AI Pilot to Production: What Goes Wrong</t>
  </si>
  <si>
    <t xml:space="preserve">/blog/ai-agent-architecture/</t>
  </si>
  <si>
    <t xml:space="preserve">AI Agent Architecture Explained (for Non-Engineers)</t>
  </si>
  <si>
    <t xml:space="preserve">Include SVG diagram</t>
  </si>
  <si>
    <t xml:space="preserve">/blog/ai-agent-vs-chatbot/</t>
  </si>
  <si>
    <t xml:space="preserve">AI Agent vs. AI Assistant vs. Chatbot</t>
  </si>
  <si>
    <t xml:space="preserve">None — quick win</t>
  </si>
  <si>
    <t xml:space="preserve">/blog/enterprise-ai-agent-security/</t>
  </si>
  <si>
    <t xml:space="preserve">Enterprise AI Agent Security: A Buyer's Checklist</t>
  </si>
  <si>
    <t xml:space="preserve">/blog/ai-agents-for-operations/</t>
  </si>
  <si>
    <t xml:space="preserve">AI Agents for Operations Teams</t>
  </si>
  <si>
    <t xml:space="preserve">Case study if available</t>
  </si>
  <si>
    <t xml:space="preserve">/blog/ai-agents-for-finance/</t>
  </si>
  <si>
    <t xml:space="preserve">AI Agents for Finance Teams</t>
  </si>
  <si>
    <t xml:space="preserve">/blog/ai-agents-for-hr/</t>
  </si>
  <si>
    <t xml:space="preserve">AI Agents for HR and People Teams</t>
  </si>
  <si>
    <t xml:space="preserve">/blog/custom-ai-agent-cost/</t>
  </si>
  <si>
    <t xml:space="preserve">What a Custom AI Agent Costs (and Why)</t>
  </si>
  <si>
    <t xml:space="preserve">/blog/evaluating-ai-agents/</t>
  </si>
  <si>
    <t xml:space="preserve">How to Evaluate an AI Agent</t>
  </si>
  <si>
    <t xml:space="preserve">/blog/ai-adoption-framework/</t>
  </si>
  <si>
    <t xml:space="preserve">The GrowthMax AI Adoption Framework</t>
  </si>
  <si>
    <t xml:space="preserve">After pillar page</t>
  </si>
  <si>
    <t xml:space="preserve">/blog/ai-adoption-metrics/</t>
  </si>
  <si>
    <t xml:space="preserve">AI Adoption Metrics That Actually Matter</t>
  </si>
  <si>
    <t xml:space="preserve">/blog/ai-rollout-plan/</t>
  </si>
  <si>
    <t xml:space="preserve">An AI Rollout Plan Your Team Will Actually Follow</t>
  </si>
  <si>
    <t xml:space="preserve">Include template</t>
  </si>
  <si>
    <t xml:space="preserve">/blog/executive-ai-training/</t>
  </si>
  <si>
    <t xml:space="preserve">A Guide to Executive AI Training</t>
  </si>
  <si>
    <t xml:space="preserve">/blog/ai-literacy-curriculum/</t>
  </si>
  <si>
    <t xml:space="preserve">What Belongs in an AI Literacy Curriculum</t>
  </si>
  <si>
    <t xml:space="preserve">/blog/ai-training-roi/</t>
  </si>
  <si>
    <t xml:space="preserve">Measuring ROI on Enterprise AI Training</t>
  </si>
  <si>
    <t xml:space="preserve">/blog/ai-upskilling-workforce/</t>
  </si>
  <si>
    <t xml:space="preserve">How to Upskill Your Workforce on AI</t>
  </si>
  <si>
    <t xml:space="preserve">/blog/augmentation-vs-automation/</t>
  </si>
  <si>
    <t xml:space="preserve">Augmentation vs. Automation: Why the Distinction Matters</t>
  </si>
  <si>
    <t xml:space="preserve">/blog/human-in-the-loop-ai/</t>
  </si>
  <si>
    <t xml:space="preserve">Human-in-the-Loop AI for Enterprise</t>
  </si>
  <si>
    <t xml:space="preserve">After /partnership/ pillar</t>
  </si>
  <si>
    <t xml:space="preserve">/blog/will-ai-replace-my-job/</t>
  </si>
  <si>
    <t xml:space="preserve">Will AI Replace Your Job? An Honest Answer</t>
  </si>
  <si>
    <t xml:space="preserve">High-traffic AEO capture</t>
  </si>
  <si>
    <t xml:space="preserve">/blog/responsible-ai-enterprise/</t>
  </si>
  <si>
    <t xml:space="preserve">Responsible AI for Enterprise Leaders</t>
  </si>
  <si>
    <t xml:space="preserve">90-Day Content Calendar</t>
  </si>
  <si>
    <t xml:space="preserve">Cadence: 2 posts/week. Sequence prioritizes pillar pages first, then Tier 1 spokes that link into them.</t>
  </si>
  <si>
    <t xml:space="preserve">Week</t>
  </si>
  <si>
    <t xml:space="preserve">Publish date</t>
  </si>
  <si>
    <t xml:space="preserve">Owner</t>
  </si>
  <si>
    <t xml:space="preserve">Week 1</t>
  </si>
  <si>
    <t xml:space="preserve">Pillar update</t>
  </si>
  <si>
    <t xml:space="preserve">Expand /ai-agents-for-business/ into full pillar</t>
  </si>
  <si>
    <t xml:space="preserve">New pillar</t>
  </si>
  <si>
    <t xml:space="preserve">Week 2</t>
  </si>
  <si>
    <t xml:space="preserve">Spoke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</si>
  <si>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</si>
  <si>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</si>
  <si>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</si>
  <si>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</si>
  <si>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</si>
  <si>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</si>
  <si>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</si>
  <si>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</si>
  <si>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</si>
  <si>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</si>
  <si>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 13</t>
  </si>
  <si>
    <t xml:space="preserve">Measurement — GSC + GA4 Setup</t>
  </si>
  <si>
    <t xml:space="preserve">Configure these once, then review monthly. Goal is to measure impressions/clicks per cluster and organic conversions per pillar.</t>
  </si>
  <si>
    <t xml:space="preserve">Google Search Console — weekly review</t>
  </si>
  <si>
    <t xml:space="preserve">•</t>
  </si>
  <si>
    <t xml:space="preserve">Filter Performance → Queries by the keywords in the 'Master Keywords' tab. Export monthly to compare impressions/clicks/average position.</t>
  </si>
  <si>
    <t xml:space="preserve">Use 'Pages' filter by cluster path: /ai-agents-for-business/, /solutions/, /blog/ai-*, /partnership/ — track impressions per cluster.</t>
  </si>
  <si>
    <t xml:space="preserve">Flag any query where you rank 11–20: these are one content refresh away from page 1. Add to 'Quick Wins' tab.</t>
  </si>
  <si>
    <t xml:space="preserve">Watch for queries you unexpectedly rank for. Those are topic gaps worth turning into dedicated pages.</t>
  </si>
  <si>
    <t xml:space="preserve">Google Analytics 4 — configuration (one-time)</t>
  </si>
  <si>
    <t xml:space="preserve">Create a GA4 custom channel group 'Organic — Cluster' with dimensions mapped by landing-page URL pattern (one definition per pillar path).</t>
  </si>
  <si>
    <t xml:space="preserve">Create Audiences: 'Organic visitors — Strategy pillar', 'Organic visitors — Agents pillar', etc. Use them for conversion attribution.</t>
  </si>
  <si>
    <t xml:space="preserve">Create Conversion events: 'contact_form_submit', 'bootcamp_inquiry', 'chat_opened' (ElevenLabs widget). Mark all as Key Events.</t>
  </si>
  <si>
    <t xml:space="preserve">Build an Exploration report: rows = Landing page, metrics = Sessions, Engaged sessions, Key events, Engagement rate. Filter to Organic source.</t>
  </si>
  <si>
    <t xml:space="preserve">Monthly reporting dashboard (manual template)</t>
  </si>
  <si>
    <t xml:space="preserve">Per cluster: impressions MoM, clicks MoM, top-5 ranking queries, top-10 landing pages, sessions, key events.</t>
  </si>
  <si>
    <t xml:space="preserve">Per new post: published date, peak position, clicks in first 30 days, backlinks earned.</t>
  </si>
  <si>
    <t xml:space="preserve">AEO tracking: manually search the top 20 AEO questions in ChatGPT, Perplexity, Google AI Overviews. Note whether GrowthMax is cited/linked.</t>
  </si>
  <si>
    <t xml:space="preserve">Quarterly: refresh any Tier 1 post older than 9 months with new stats, new H2s, and a fresh publish date.</t>
  </si>
  <si>
    <t xml:space="preserve">What 'working' looks like by cluster maturity</t>
  </si>
  <si>
    <t xml:space="preserve">Month 1–2: publishing + indexation. Track: # of posts indexed in GSC within 7 days of publish.</t>
  </si>
  <si>
    <t xml:space="preserve">Month 3–4: first rankings appear. Track: # of queries with any impressions per cluster.</t>
  </si>
  <si>
    <t xml:space="preserve">Month 5–6: page 2 rankings. Track: # of queries ranking positions 11–20.</t>
  </si>
  <si>
    <t xml:space="preserve">Month 7–12: page 1 breakthroughs. Track: # of queries in positions 1–10 + AEO citations.</t>
  </si>
  <si>
    <t xml:space="preserve">Tools to add when budget allows</t>
  </si>
  <si>
    <t xml:space="preserve">Ahrefs or SEMrush — unlocks keyword difficulty scoring and backlink tracking. Swap in 'Difficulty (1–3)' for Ahrefs KD.</t>
  </si>
  <si>
    <t xml:space="preserve">Schema validator — validator.schema.org for FAQ/HowTo markup QA.</t>
  </si>
  <si>
    <t xml:space="preserve">Screaming Frog (free up to 500 URLs) — internal linking audit between pillars and spokes.</t>
  </si>
  <si>
    <t xml:space="preserve">ContentKing or SEO Logs — alerts on rank loss for Tier 1 keywords.</t>
  </si>
  <si>
    <t xml:space="preserve">Quick Wins — Existing Pages to Optimize</t>
  </si>
  <si>
    <t xml:space="preserve">These already exist and could rank faster with small, targeted edits. Do these first — cheapest wins in the program.</t>
  </si>
  <si>
    <t xml:space="preserve">Existing page</t>
  </si>
  <si>
    <t xml:space="preserve">Primary keyword to target</t>
  </si>
  <si>
    <t xml:space="preserve">Small edit to make</t>
  </si>
  <si>
    <t xml:space="preserve">Estimated effort</t>
  </si>
  <si>
    <t xml:space="preserve">Add H2 'What is an enterprise AI strategy?' with a 50-word direct answer; add FAQPage schema; add 3 internal links to existing adoption posts.</t>
  </si>
  <si>
    <t xml:space="preserve">2 hours</t>
  </si>
  <si>
    <t xml:space="preserve">Retitle H1 to include 'for Enterprise'; add use-case grid section; add FAQ (cost, timeline, integrations).</t>
  </si>
  <si>
    <t xml:space="preserve">3 hours</t>
  </si>
  <si>
    <t xml:space="preserve">Add H2 'What is enterprise AI literacy?'; expand outcomes section with quantified claims; add testimonials.</t>
  </si>
  <si>
    <t xml:space="preserve">Add FAQ section; add course outline with schema; add 'Who is this for?' H2.</t>
  </si>
  <si>
    <t xml:space="preserve">Add FAQPage schema; update stats to 2026; add 3 'People Also Ask' H2s.</t>
  </si>
  <si>
    <t xml:space="preserve">1.5 hours</t>
  </si>
  <si>
    <t xml:space="preserve">Add HowTo schema; add phase-by-phase FAQ block; add internal link to new pillar when published.</t>
  </si>
  <si>
    <t xml:space="preserve">Add link to new /partnership/ pillar when published; add FAQ; add author schema.</t>
  </si>
  <si>
    <t xml:space="preserve">1 hour</t>
  </si>
  <si>
    <t xml:space="preserve">Retitle to include target phrase; add FAQ block on handling resistance.</t>
  </si>
  <si>
    <t xml:space="preserve">Add FAQPage schema; add section on measuring adoption; link to pillar.</t>
  </si>
  <si>
    <t xml:space="preserve">Retarget: add TCO as H2, add 'hidden cost of ownership' phrasing; FAQ block.</t>
  </si>
  <si>
    <t xml:space="preserve">Add H2 'Should we build or buy AI agents?' (exact match phrase); FAQ schema.</t>
  </si>
  <si>
    <t xml:space="preserve">existing blog: measure-roi-first-ai-agent</t>
  </si>
  <si>
    <t xml:space="preserve">AI agent ROI</t>
  </si>
  <si>
    <t xml:space="preserve">Add FAQ; add calculator snippet if possible (or link to one).</t>
  </si>
  <si>
    <t xml:space="preserve">first AI agent use case</t>
  </si>
  <si>
    <t xml:space="preserve">Add HowTo schema; add 3 example use cases with specifics.</t>
  </si>
  <si>
    <t xml:space="preserve">/resources/faq.html</t>
  </si>
  <si>
    <t xml:space="preserve">AI implementation questions</t>
  </si>
  <si>
    <t xml:space="preserve">Restructure as FAQPage schema; group by pillar; add 10 new questions from AEO tab.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</si>
</sst>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7490"/>
      <name val="Arial"/>
      <family val="0"/>
      <charset val="1"/>
    </font>
    <font>
      <i val="true"/>
      <sz val="10"/>
      <color rgb="FF64748B"/>
      <name val="Arial"/>
      <family val="0"/>
      <charset val="1"/>
    </font>
    <font>
      <b val="true"/>
      <sz val="11"/>
      <color rgb="FF155E75"/>
      <name val="Arial"/>
      <family val="0"/>
      <charset val="1"/>
    </font>
    <font>
      <b val="true"/>
      <sz val="10"/>
      <color rgb="FF155E7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2563E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563EB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55E7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6D3"/>
          <bgColor rgb="FF000000"/>
        </patternFill>
      </fill>
    </dxf>
    <dxf>
      <fill>
        <patternFill patternType="solid">
          <fgColor rgb="FFFEEDD1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10"/>
  </cols>
  <sheetData>
    <row r="1" customFormat="false" ht="27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3"/>
    </row>
    <row r="5" customFormat="false" ht="48" hidden="false" customHeight="true" outlineLevel="0" collapsed="false">
      <c r="A5" s="4" t="s">
        <v>3</v>
      </c>
      <c r="B5" s="5" t="s">
        <v>4</v>
      </c>
    </row>
    <row r="6" customFormat="false" ht="48" hidden="false" customHeight="true" outlineLevel="0" collapsed="false">
      <c r="A6" s="4" t="s">
        <v>5</v>
      </c>
      <c r="B6" s="5" t="s">
        <v>6</v>
      </c>
    </row>
    <row r="7" customFormat="false" ht="48" hidden="false" customHeight="true" outlineLevel="0" collapsed="false">
      <c r="A7" s="4" t="s">
        <v>7</v>
      </c>
      <c r="B7" s="5" t="s">
        <v>8</v>
      </c>
    </row>
    <row r="8" customFormat="false" ht="48" hidden="false" customHeight="true" outlineLevel="0" collapsed="false">
      <c r="A8" s="4" t="s">
        <v>9</v>
      </c>
      <c r="B8" s="5" t="s">
        <v>10</v>
      </c>
    </row>
    <row r="9" customFormat="false" ht="48" hidden="false" customHeight="true" outlineLevel="0" collapsed="false">
      <c r="A9" s="4" t="s">
        <v>11</v>
      </c>
      <c r="B9" s="5" t="s">
        <v>12</v>
      </c>
    </row>
    <row r="10" customFormat="false" ht="48" hidden="false" customHeight="true" outlineLevel="0" collapsed="false">
      <c r="A10" s="4" t="s">
        <v>13</v>
      </c>
      <c r="B10" s="5" t="s">
        <v>14</v>
      </c>
    </row>
    <row r="11" customFormat="false" ht="48" hidden="false" customHeight="true" outlineLevel="0" collapsed="false">
      <c r="A11" s="4" t="s">
        <v>15</v>
      </c>
      <c r="B11" s="5" t="s">
        <v>16</v>
      </c>
    </row>
    <row r="12" customFormat="false" ht="48" hidden="false" customHeight="true" outlineLevel="0" collapsed="false">
      <c r="A12" s="4" t="s">
        <v>17</v>
      </c>
      <c r="B12" s="5" t="s">
        <v>18</v>
      </c>
    </row>
    <row r="14" customFormat="false" ht="15" hidden="false" customHeight="true" outlineLevel="0" collapsed="false">
      <c r="A14" s="3" t="s">
        <v>19</v>
      </c>
      <c r="B14" s="3"/>
    </row>
    <row r="15" customFormat="false" ht="15" hidden="false" customHeight="false" outlineLevel="0" collapsed="false">
      <c r="A15" s="6" t="s">
        <v>20</v>
      </c>
      <c r="B15" s="5" t="s">
        <v>21</v>
      </c>
    </row>
    <row r="16" customFormat="false" ht="15" hidden="false" customHeight="false" outlineLevel="0" collapsed="false">
      <c r="A16" s="6" t="s">
        <v>22</v>
      </c>
      <c r="B16" s="5" t="s">
        <v>23</v>
      </c>
    </row>
    <row r="17" customFormat="false" ht="15" hidden="false" customHeight="false" outlineLevel="0" collapsed="false">
      <c r="A17" s="6" t="s">
        <v>24</v>
      </c>
      <c r="B17" s="5" t="s">
        <v>25</v>
      </c>
    </row>
    <row r="18" customFormat="false" ht="15" hidden="false" customHeight="false" outlineLevel="0" collapsed="false">
      <c r="A18" s="6" t="s">
        <v>26</v>
      </c>
      <c r="B18" s="5" t="s">
        <v>27</v>
      </c>
    </row>
    <row r="19" customFormat="false" ht="15" hidden="false" customHeight="false" outlineLevel="0" collapsed="false">
      <c r="A19" s="6" t="s">
        <v>28</v>
      </c>
      <c r="B19" s="5" t="s">
        <v>29</v>
      </c>
    </row>
    <row r="20" customFormat="false" ht="15" hidden="false" customHeight="false" outlineLevel="0" collapsed="false">
      <c r="A20" s="6" t="s">
        <v>30</v>
      </c>
      <c r="B20" s="5" t="s">
        <v>31</v>
      </c>
    </row>
    <row r="21" customFormat="false" ht="15" hidden="false" customHeight="false" outlineLevel="0" collapsed="false">
      <c r="A21" s="6" t="s">
        <v>32</v>
      </c>
      <c r="B21" s="5" t="s">
        <v>33</v>
      </c>
    </row>
  </sheetData>
  <mergeCells count="2">
    <mergeCell ref="A4:B4"/>
    <mergeCell ref="A14:B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"/>
    <col collapsed="false" customWidth="true" hidden="false" outlineLevel="0" max="3" min="3" style="0" width="48"/>
    <col collapsed="false" customWidth="true" hidden="false" outlineLevel="0" max="4" min="4" style="0" width="34"/>
    <col collapsed="false" customWidth="true" hidden="false" outlineLevel="0" max="5" min="5" style="0" width="58"/>
    <col collapsed="false" customWidth="true" hidden="false" outlineLevel="0" max="6" min="6" style="0" width="48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26.85" hidden="false" customHeight="false" outlineLevel="0" collapsed="false">
      <c r="A4" s="7" t="s">
        <v>36</v>
      </c>
      <c r="B4" s="7" t="s">
        <v>37</v>
      </c>
      <c r="C4" s="7" t="s">
        <v>38</v>
      </c>
      <c r="D4" s="7" t="s">
        <v>39</v>
      </c>
      <c r="E4" s="7" t="s">
        <v>40</v>
      </c>
      <c r="F4" s="7" t="s">
        <v>41</v>
      </c>
      <c r="G4" s="7" t="s">
        <v>42</v>
      </c>
    </row>
    <row r="5" customFormat="false" ht="72" hidden="false" customHeight="true" outlineLevel="0" collapsed="false">
      <c r="A5" s="5" t="n">
        <v>1</v>
      </c>
      <c r="B5" s="5" t="s">
        <v>43</v>
      </c>
      <c r="C5" s="5" t="s">
        <v>44</v>
      </c>
      <c r="D5" s="5" t="s">
        <v>45</v>
      </c>
      <c r="E5" s="5" t="s">
        <v>46</v>
      </c>
      <c r="F5" s="5" t="s">
        <v>47</v>
      </c>
      <c r="G5" s="5" t="s">
        <v>48</v>
      </c>
    </row>
    <row r="6" customFormat="false" ht="72" hidden="false" customHeight="true" outlineLevel="0" collapsed="false">
      <c r="A6" s="5" t="n">
        <v>2</v>
      </c>
      <c r="B6" s="5" t="s">
        <v>49</v>
      </c>
      <c r="C6" s="5" t="s">
        <v>50</v>
      </c>
      <c r="D6" s="5" t="s">
        <v>51</v>
      </c>
      <c r="E6" s="5" t="s">
        <v>52</v>
      </c>
      <c r="F6" s="5" t="s">
        <v>53</v>
      </c>
      <c r="G6" s="5" t="s">
        <v>54</v>
      </c>
    </row>
    <row r="7" customFormat="false" ht="72" hidden="false" customHeight="true" outlineLevel="0" collapsed="false">
      <c r="A7" s="5" t="n">
        <v>3</v>
      </c>
      <c r="B7" s="5" t="s">
        <v>55</v>
      </c>
      <c r="C7" s="5" t="s">
        <v>56</v>
      </c>
      <c r="D7" s="5" t="s">
        <v>57</v>
      </c>
      <c r="E7" s="5" t="s">
        <v>58</v>
      </c>
      <c r="F7" s="5" t="s">
        <v>59</v>
      </c>
      <c r="G7" s="5" t="s">
        <v>60</v>
      </c>
    </row>
    <row r="8" customFormat="false" ht="72" hidden="false" customHeight="true" outlineLevel="0" collapsed="false">
      <c r="A8" s="5" t="n">
        <v>4</v>
      </c>
      <c r="B8" s="5" t="s">
        <v>61</v>
      </c>
      <c r="C8" s="5" t="s">
        <v>62</v>
      </c>
      <c r="D8" s="5" t="s">
        <v>63</v>
      </c>
      <c r="E8" s="5" t="s">
        <v>64</v>
      </c>
      <c r="F8" s="5" t="s">
        <v>65</v>
      </c>
      <c r="G8" s="5" t="s">
        <v>66</v>
      </c>
    </row>
    <row r="9" customFormat="false" ht="72" hidden="false" customHeight="true" outlineLevel="0" collapsed="false">
      <c r="A9" s="5" t="n">
        <v>5</v>
      </c>
      <c r="B9" s="5" t="s">
        <v>67</v>
      </c>
      <c r="C9" s="5" t="s">
        <v>68</v>
      </c>
      <c r="D9" s="5" t="s">
        <v>69</v>
      </c>
      <c r="E9" s="5" t="s">
        <v>70</v>
      </c>
      <c r="F9" s="5" t="s">
        <v>71</v>
      </c>
      <c r="G9" s="5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9" min="6" style="0" width="10"/>
    <col collapsed="false" customWidth="true" hidden="false" outlineLevel="0" max="10" min="10" style="0" width="9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44"/>
    <col collapsed="false" customWidth="true" hidden="false" outlineLevel="0" max="14" min="14" style="0" width="13"/>
    <col collapsed="false" customWidth="true" hidden="false" outlineLevel="0" max="15" min="15" style="0" width="44"/>
  </cols>
  <sheetData>
    <row r="1" customFormat="false" ht="19.7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39.55" hidden="false" customHeight="false" outlineLevel="0" collapsed="false">
      <c r="A4" s="7" t="s">
        <v>75</v>
      </c>
      <c r="B4" s="7" t="s">
        <v>76</v>
      </c>
      <c r="C4" s="7" t="s">
        <v>77</v>
      </c>
      <c r="D4" s="7" t="s">
        <v>78</v>
      </c>
      <c r="E4" s="7" t="s">
        <v>79</v>
      </c>
      <c r="F4" s="7" t="s">
        <v>80</v>
      </c>
      <c r="G4" s="7" t="s">
        <v>81</v>
      </c>
      <c r="H4" s="7" t="s">
        <v>82</v>
      </c>
      <c r="I4" s="7" t="s">
        <v>83</v>
      </c>
      <c r="J4" s="7" t="s">
        <v>84</v>
      </c>
      <c r="K4" s="7" t="s">
        <v>85</v>
      </c>
      <c r="L4" s="7" t="s">
        <v>86</v>
      </c>
      <c r="M4" s="7" t="s">
        <v>87</v>
      </c>
      <c r="N4" s="7" t="s">
        <v>88</v>
      </c>
      <c r="O4" s="7" t="s">
        <v>89</v>
      </c>
    </row>
    <row r="5" customFormat="false" ht="43.5" hidden="false" customHeight="true" outlineLevel="0" collapsed="false">
      <c r="A5" s="5" t="s">
        <v>90</v>
      </c>
      <c r="B5" s="5" t="n">
        <v>1</v>
      </c>
      <c r="C5" s="5" t="s">
        <v>91</v>
      </c>
      <c r="D5" s="5" t="s">
        <v>92</v>
      </c>
      <c r="E5" s="5" t="s">
        <v>93</v>
      </c>
      <c r="F5" s="5" t="n">
        <v>3</v>
      </c>
      <c r="G5" s="5" t="n">
        <v>3</v>
      </c>
      <c r="H5" s="5" t="n">
        <v>3</v>
      </c>
      <c r="I5" s="5" t="n">
        <f aca="false">ROUND((F5*G5)/H5,2)</f>
        <v>3</v>
      </c>
      <c r="J5" s="5" t="str">
        <f aca="false">IF(I5&gt;=3,"Tier 1",IF(I5&gt;=1.5,"Tier 2","Tier 3"))</f>
        <v>Tier 1</v>
      </c>
      <c r="K5" s="5" t="s">
        <v>44</v>
      </c>
      <c r="L5" s="5" t="s">
        <v>94</v>
      </c>
      <c r="M5" s="5" t="s">
        <v>95</v>
      </c>
      <c r="N5" s="5" t="s">
        <v>96</v>
      </c>
      <c r="O5" s="5" t="s">
        <v>97</v>
      </c>
    </row>
    <row r="6" customFormat="false" ht="43.5" hidden="false" customHeight="true" outlineLevel="0" collapsed="false">
      <c r="A6" s="5" t="s">
        <v>98</v>
      </c>
      <c r="B6" s="5" t="n">
        <v>1</v>
      </c>
      <c r="C6" s="5" t="s">
        <v>99</v>
      </c>
      <c r="D6" s="5" t="s">
        <v>92</v>
      </c>
      <c r="E6" s="5" t="s">
        <v>93</v>
      </c>
      <c r="F6" s="5" t="n">
        <v>3</v>
      </c>
      <c r="G6" s="5" t="n">
        <v>3</v>
      </c>
      <c r="H6" s="5" t="n">
        <v>2</v>
      </c>
      <c r="I6" s="5" t="n">
        <f aca="false">ROUND((F6*G6)/H6,2)</f>
        <v>4.5</v>
      </c>
      <c r="J6" s="5" t="str">
        <f aca="false">IF(I6&gt;=3,"Tier 1",IF(I6&gt;=1.5,"Tier 2","Tier 3"))</f>
        <v>Tier 1</v>
      </c>
      <c r="K6" s="5" t="s">
        <v>44</v>
      </c>
      <c r="L6" s="5" t="s">
        <v>94</v>
      </c>
      <c r="M6" s="5" t="s">
        <v>100</v>
      </c>
      <c r="N6" s="5" t="s">
        <v>96</v>
      </c>
      <c r="O6" s="5" t="s">
        <v>101</v>
      </c>
    </row>
    <row r="7" customFormat="false" ht="43.5" hidden="false" customHeight="true" outlineLevel="0" collapsed="false">
      <c r="A7" s="5" t="s">
        <v>102</v>
      </c>
      <c r="B7" s="5" t="n">
        <v>1</v>
      </c>
      <c r="C7" s="5" t="s">
        <v>103</v>
      </c>
      <c r="D7" s="5" t="s">
        <v>92</v>
      </c>
      <c r="E7" s="5" t="s">
        <v>93</v>
      </c>
      <c r="F7" s="5" t="n">
        <v>3</v>
      </c>
      <c r="G7" s="5" t="n">
        <v>3</v>
      </c>
      <c r="H7" s="5" t="n">
        <v>2</v>
      </c>
      <c r="I7" s="5" t="n">
        <f aca="false">ROUND((F7*G7)/H7,2)</f>
        <v>4.5</v>
      </c>
      <c r="J7" s="5" t="str">
        <f aca="false">IF(I7&gt;=3,"Tier 1",IF(I7&gt;=1.5,"Tier 2","Tier 3"))</f>
        <v>Tier 1</v>
      </c>
      <c r="K7" s="5" t="s">
        <v>104</v>
      </c>
      <c r="L7" s="5" t="s">
        <v>105</v>
      </c>
      <c r="M7" s="5" t="s">
        <v>106</v>
      </c>
      <c r="N7" s="5" t="s">
        <v>96</v>
      </c>
      <c r="O7" s="5" t="s">
        <v>107</v>
      </c>
    </row>
    <row r="8" customFormat="false" ht="43.5" hidden="false" customHeight="true" outlineLevel="0" collapsed="false">
      <c r="A8" s="5" t="s">
        <v>108</v>
      </c>
      <c r="B8" s="5" t="n">
        <v>1</v>
      </c>
      <c r="C8" s="5" t="s">
        <v>109</v>
      </c>
      <c r="D8" s="5" t="s">
        <v>92</v>
      </c>
      <c r="E8" s="5" t="s">
        <v>110</v>
      </c>
      <c r="F8" s="5" t="n">
        <v>3</v>
      </c>
      <c r="G8" s="5" t="n">
        <v>3</v>
      </c>
      <c r="H8" s="5" t="n">
        <v>2</v>
      </c>
      <c r="I8" s="5" t="n">
        <f aca="false">ROUND((F8*G8)/H8,2)</f>
        <v>4.5</v>
      </c>
      <c r="J8" s="5" t="str">
        <f aca="false">IF(I8&gt;=3,"Tier 1",IF(I8&gt;=1.5,"Tier 2","Tier 3"))</f>
        <v>Tier 1</v>
      </c>
      <c r="K8" s="5" t="s">
        <v>111</v>
      </c>
      <c r="L8" s="5" t="s">
        <v>105</v>
      </c>
      <c r="M8" s="5" t="s">
        <v>112</v>
      </c>
      <c r="N8" s="5" t="s">
        <v>96</v>
      </c>
      <c r="O8" s="5" t="s">
        <v>113</v>
      </c>
    </row>
    <row r="9" customFormat="false" ht="43.5" hidden="false" customHeight="true" outlineLevel="0" collapsed="false">
      <c r="A9" s="5" t="s">
        <v>114</v>
      </c>
      <c r="B9" s="5" t="n">
        <v>1</v>
      </c>
      <c r="C9" s="5" t="s">
        <v>115</v>
      </c>
      <c r="D9" s="5" t="s">
        <v>92</v>
      </c>
      <c r="E9" s="5" t="s">
        <v>93</v>
      </c>
      <c r="F9" s="5" t="n">
        <v>2</v>
      </c>
      <c r="G9" s="5" t="n">
        <v>3</v>
      </c>
      <c r="H9" s="5" t="n">
        <v>2</v>
      </c>
      <c r="I9" s="5" t="n">
        <f aca="false">ROUND((F9*G9)/H9,2)</f>
        <v>3</v>
      </c>
      <c r="J9" s="5" t="str">
        <f aca="false">IF(I9&gt;=3,"Tier 1",IF(I9&gt;=1.5,"Tier 2","Tier 3"))</f>
        <v>Tier 1</v>
      </c>
      <c r="K9" s="5" t="s">
        <v>116</v>
      </c>
      <c r="L9" s="5" t="s">
        <v>105</v>
      </c>
      <c r="M9" s="5" t="s">
        <v>117</v>
      </c>
      <c r="N9" s="5" t="s">
        <v>96</v>
      </c>
      <c r="O9" s="5" t="s">
        <v>118</v>
      </c>
    </row>
    <row r="10" customFormat="false" ht="43.5" hidden="false" customHeight="true" outlineLevel="0" collapsed="false">
      <c r="A10" s="5" t="s">
        <v>119</v>
      </c>
      <c r="B10" s="5" t="n">
        <v>1</v>
      </c>
      <c r="C10" s="5" t="s">
        <v>120</v>
      </c>
      <c r="D10" s="5" t="s">
        <v>92</v>
      </c>
      <c r="E10" s="5" t="s">
        <v>110</v>
      </c>
      <c r="F10" s="5" t="n">
        <v>3</v>
      </c>
      <c r="G10" s="5" t="n">
        <v>3</v>
      </c>
      <c r="H10" s="5" t="n">
        <v>2</v>
      </c>
      <c r="I10" s="5" t="n">
        <f aca="false">ROUND((F10*G10)/H10,2)</f>
        <v>4.5</v>
      </c>
      <c r="J10" s="5" t="str">
        <f aca="false">IF(I10&gt;=3,"Tier 1",IF(I10&gt;=1.5,"Tier 2","Tier 3"))</f>
        <v>Tier 1</v>
      </c>
      <c r="K10" s="5" t="s">
        <v>121</v>
      </c>
      <c r="L10" s="5" t="s">
        <v>105</v>
      </c>
      <c r="M10" s="5" t="s">
        <v>122</v>
      </c>
      <c r="N10" s="5" t="s">
        <v>96</v>
      </c>
      <c r="O10" s="5" t="s">
        <v>123</v>
      </c>
    </row>
    <row r="11" customFormat="false" ht="43.5" hidden="false" customHeight="true" outlineLevel="0" collapsed="false">
      <c r="A11" s="5" t="s">
        <v>124</v>
      </c>
      <c r="B11" s="5" t="n">
        <v>1</v>
      </c>
      <c r="C11" s="5" t="s">
        <v>125</v>
      </c>
      <c r="D11" s="5" t="s">
        <v>92</v>
      </c>
      <c r="E11" s="5" t="s">
        <v>110</v>
      </c>
      <c r="F11" s="5" t="n">
        <v>2</v>
      </c>
      <c r="G11" s="5" t="n">
        <v>3</v>
      </c>
      <c r="H11" s="5" t="n">
        <v>2</v>
      </c>
      <c r="I11" s="5" t="n">
        <f aca="false">ROUND((F11*G11)/H11,2)</f>
        <v>3</v>
      </c>
      <c r="J11" s="5" t="str">
        <f aca="false">IF(I11&gt;=3,"Tier 1",IF(I11&gt;=1.5,"Tier 2","Tier 3"))</f>
        <v>Tier 1</v>
      </c>
      <c r="K11" s="5" t="s">
        <v>126</v>
      </c>
      <c r="L11" s="5" t="s">
        <v>105</v>
      </c>
      <c r="M11" s="5" t="s">
        <v>127</v>
      </c>
      <c r="N11" s="5" t="s">
        <v>96</v>
      </c>
      <c r="O11" s="5" t="s">
        <v>128</v>
      </c>
    </row>
    <row r="12" customFormat="false" ht="43.5" hidden="false" customHeight="true" outlineLevel="0" collapsed="false">
      <c r="A12" s="5" t="s">
        <v>129</v>
      </c>
      <c r="B12" s="5" t="n">
        <v>1</v>
      </c>
      <c r="C12" s="5" t="s">
        <v>130</v>
      </c>
      <c r="D12" s="5" t="s">
        <v>131</v>
      </c>
      <c r="E12" s="5" t="s">
        <v>110</v>
      </c>
      <c r="F12" s="5" t="n">
        <v>3</v>
      </c>
      <c r="G12" s="5" t="n">
        <v>3</v>
      </c>
      <c r="H12" s="5" t="n">
        <v>2</v>
      </c>
      <c r="I12" s="5" t="n">
        <f aca="false">ROUND((F12*G12)/H12,2)</f>
        <v>4.5</v>
      </c>
      <c r="J12" s="5" t="str">
        <f aca="false">IF(I12&gt;=3,"Tier 1",IF(I12&gt;=1.5,"Tier 2","Tier 3"))</f>
        <v>Tier 1</v>
      </c>
      <c r="K12" s="5" t="s">
        <v>132</v>
      </c>
      <c r="L12" s="5" t="s">
        <v>94</v>
      </c>
      <c r="M12" s="5" t="s">
        <v>133</v>
      </c>
      <c r="N12" s="5" t="s">
        <v>96</v>
      </c>
      <c r="O12" s="5" t="s">
        <v>134</v>
      </c>
    </row>
    <row r="13" customFormat="false" ht="43.5" hidden="false" customHeight="true" outlineLevel="0" collapsed="false">
      <c r="A13" s="5" t="s">
        <v>135</v>
      </c>
      <c r="B13" s="5" t="n">
        <v>1</v>
      </c>
      <c r="C13" s="5" t="s">
        <v>136</v>
      </c>
      <c r="D13" s="5" t="s">
        <v>131</v>
      </c>
      <c r="E13" s="5" t="s">
        <v>110</v>
      </c>
      <c r="F13" s="5" t="n">
        <v>3</v>
      </c>
      <c r="G13" s="5" t="n">
        <v>3</v>
      </c>
      <c r="H13" s="5" t="n">
        <v>2</v>
      </c>
      <c r="I13" s="5" t="n">
        <f aca="false">ROUND((F13*G13)/H13,2)</f>
        <v>4.5</v>
      </c>
      <c r="J13" s="5" t="str">
        <f aca="false">IF(I13&gt;=3,"Tier 1",IF(I13&gt;=1.5,"Tier 2","Tier 3"))</f>
        <v>Tier 1</v>
      </c>
      <c r="K13" s="5" t="s">
        <v>137</v>
      </c>
      <c r="L13" s="5" t="s">
        <v>105</v>
      </c>
      <c r="M13" s="5" t="s">
        <v>138</v>
      </c>
      <c r="N13" s="5" t="s">
        <v>96</v>
      </c>
      <c r="O13" s="5" t="s">
        <v>139</v>
      </c>
    </row>
    <row r="14" customFormat="false" ht="43.5" hidden="false" customHeight="true" outlineLevel="0" collapsed="false">
      <c r="A14" s="5" t="s">
        <v>140</v>
      </c>
      <c r="B14" s="5" t="n">
        <v>1</v>
      </c>
      <c r="C14" s="5" t="s">
        <v>141</v>
      </c>
      <c r="D14" s="5" t="s">
        <v>92</v>
      </c>
      <c r="E14" s="5" t="s">
        <v>110</v>
      </c>
      <c r="F14" s="5" t="n">
        <v>3</v>
      </c>
      <c r="G14" s="5" t="n">
        <v>3</v>
      </c>
      <c r="H14" s="5" t="n">
        <v>2</v>
      </c>
      <c r="I14" s="5" t="n">
        <f aca="false">ROUND((F14*G14)/H14,2)</f>
        <v>4.5</v>
      </c>
      <c r="J14" s="5" t="str">
        <f aca="false">IF(I14&gt;=3,"Tier 1",IF(I14&gt;=1.5,"Tier 2","Tier 3"))</f>
        <v>Tier 1</v>
      </c>
      <c r="K14" s="5" t="s">
        <v>142</v>
      </c>
      <c r="L14" s="5" t="s">
        <v>105</v>
      </c>
      <c r="M14" s="5" t="s">
        <v>143</v>
      </c>
      <c r="N14" s="5" t="s">
        <v>96</v>
      </c>
      <c r="O14" s="5" t="s">
        <v>144</v>
      </c>
    </row>
    <row r="15" customFormat="false" ht="43.5" hidden="false" customHeight="true" outlineLevel="0" collapsed="false">
      <c r="A15" s="5" t="s">
        <v>145</v>
      </c>
      <c r="B15" s="5" t="n">
        <v>1</v>
      </c>
      <c r="C15" s="5" t="s">
        <v>146</v>
      </c>
      <c r="D15" s="5" t="s">
        <v>92</v>
      </c>
      <c r="E15" s="5" t="s">
        <v>110</v>
      </c>
      <c r="F15" s="5" t="n">
        <v>3</v>
      </c>
      <c r="G15" s="5" t="n">
        <v>3</v>
      </c>
      <c r="H15" s="5" t="n">
        <v>1</v>
      </c>
      <c r="I15" s="5" t="n">
        <f aca="false">ROUND((F15*G15)/H15,2)</f>
        <v>9</v>
      </c>
      <c r="J15" s="5" t="str">
        <f aca="false">IF(I15&gt;=3,"Tier 1",IF(I15&gt;=1.5,"Tier 2","Tier 3"))</f>
        <v>Tier 1</v>
      </c>
      <c r="K15" s="5" t="s">
        <v>147</v>
      </c>
      <c r="L15" s="5" t="s">
        <v>105</v>
      </c>
      <c r="M15" s="5" t="s">
        <v>148</v>
      </c>
      <c r="N15" s="5" t="s">
        <v>96</v>
      </c>
      <c r="O15" s="5" t="s">
        <v>149</v>
      </c>
    </row>
    <row r="16" customFormat="false" ht="43.5" hidden="false" customHeight="true" outlineLevel="0" collapsed="false">
      <c r="A16" s="5" t="s">
        <v>150</v>
      </c>
      <c r="B16" s="5" t="n">
        <v>1</v>
      </c>
      <c r="C16" s="5" t="s">
        <v>151</v>
      </c>
      <c r="D16" s="5" t="s">
        <v>92</v>
      </c>
      <c r="E16" s="5" t="s">
        <v>110</v>
      </c>
      <c r="F16" s="5" t="n">
        <v>3</v>
      </c>
      <c r="G16" s="5" t="n">
        <v>3</v>
      </c>
      <c r="H16" s="5" t="n">
        <v>2</v>
      </c>
      <c r="I16" s="5" t="n">
        <f aca="false">ROUND((F16*G16)/H16,2)</f>
        <v>4.5</v>
      </c>
      <c r="J16" s="5" t="str">
        <f aca="false">IF(I16&gt;=3,"Tier 1",IF(I16&gt;=1.5,"Tier 2","Tier 3"))</f>
        <v>Tier 1</v>
      </c>
      <c r="K16" s="5" t="s">
        <v>152</v>
      </c>
      <c r="L16" s="5" t="s">
        <v>94</v>
      </c>
      <c r="M16" s="5" t="s">
        <v>153</v>
      </c>
      <c r="N16" s="5" t="s">
        <v>96</v>
      </c>
      <c r="O16" s="5" t="s">
        <v>154</v>
      </c>
    </row>
    <row r="17" customFormat="false" ht="43.5" hidden="false" customHeight="true" outlineLevel="0" collapsed="false">
      <c r="A17" s="5" t="s">
        <v>155</v>
      </c>
      <c r="B17" s="5" t="n">
        <v>1</v>
      </c>
      <c r="C17" s="5" t="s">
        <v>156</v>
      </c>
      <c r="D17" s="5" t="s">
        <v>92</v>
      </c>
      <c r="E17" s="5" t="s">
        <v>110</v>
      </c>
      <c r="F17" s="5" t="n">
        <v>2</v>
      </c>
      <c r="G17" s="5" t="n">
        <v>3</v>
      </c>
      <c r="H17" s="5" t="n">
        <v>2</v>
      </c>
      <c r="I17" s="5" t="n">
        <f aca="false">ROUND((F17*G17)/H17,2)</f>
        <v>3</v>
      </c>
      <c r="J17" s="5" t="str">
        <f aca="false">IF(I17&gt;=3,"Tier 1",IF(I17&gt;=1.5,"Tier 2","Tier 3"))</f>
        <v>Tier 1</v>
      </c>
      <c r="K17" s="5" t="s">
        <v>157</v>
      </c>
      <c r="L17" s="5" t="s">
        <v>105</v>
      </c>
      <c r="M17" s="5" t="s">
        <v>158</v>
      </c>
      <c r="N17" s="5" t="s">
        <v>96</v>
      </c>
      <c r="O17" s="5" t="s">
        <v>159</v>
      </c>
    </row>
    <row r="18" customFormat="false" ht="43.5" hidden="false" customHeight="true" outlineLevel="0" collapsed="false">
      <c r="A18" s="5" t="s">
        <v>160</v>
      </c>
      <c r="B18" s="5" t="n">
        <v>2</v>
      </c>
      <c r="C18" s="5" t="s">
        <v>161</v>
      </c>
      <c r="D18" s="5" t="s">
        <v>131</v>
      </c>
      <c r="E18" s="5" t="s">
        <v>162</v>
      </c>
      <c r="F18" s="5" t="n">
        <v>3</v>
      </c>
      <c r="G18" s="5" t="n">
        <v>3</v>
      </c>
      <c r="H18" s="5" t="n">
        <v>2</v>
      </c>
      <c r="I18" s="5" t="n">
        <f aca="false">ROUND((F18*G18)/H18,2)</f>
        <v>4.5</v>
      </c>
      <c r="J18" s="5" t="str">
        <f aca="false">IF(I18&gt;=3,"Tier 1",IF(I18&gt;=1.5,"Tier 2","Tier 3"))</f>
        <v>Tier 1</v>
      </c>
      <c r="K18" s="5" t="s">
        <v>50</v>
      </c>
      <c r="L18" s="5" t="s">
        <v>94</v>
      </c>
      <c r="M18" s="5" t="s">
        <v>163</v>
      </c>
      <c r="N18" s="5" t="s">
        <v>96</v>
      </c>
      <c r="O18" s="5" t="s">
        <v>164</v>
      </c>
    </row>
    <row r="19" customFormat="false" ht="43.5" hidden="false" customHeight="true" outlineLevel="0" collapsed="false">
      <c r="A19" s="5" t="s">
        <v>165</v>
      </c>
      <c r="B19" s="5" t="n">
        <v>2</v>
      </c>
      <c r="C19" s="5" t="s">
        <v>166</v>
      </c>
      <c r="D19" s="5" t="s">
        <v>131</v>
      </c>
      <c r="E19" s="5" t="s">
        <v>162</v>
      </c>
      <c r="F19" s="5" t="n">
        <v>3</v>
      </c>
      <c r="G19" s="5" t="n">
        <v>3</v>
      </c>
      <c r="H19" s="5" t="n">
        <v>2</v>
      </c>
      <c r="I19" s="5" t="n">
        <f aca="false">ROUND((F19*G19)/H19,2)</f>
        <v>4.5</v>
      </c>
      <c r="J19" s="5" t="str">
        <f aca="false">IF(I19&gt;=3,"Tier 1",IF(I19&gt;=1.5,"Tier 2","Tier 3"))</f>
        <v>Tier 1</v>
      </c>
      <c r="K19" s="5" t="s">
        <v>50</v>
      </c>
      <c r="L19" s="5" t="s">
        <v>94</v>
      </c>
      <c r="M19" s="5" t="s">
        <v>167</v>
      </c>
      <c r="N19" s="5" t="s">
        <v>96</v>
      </c>
      <c r="O19" s="5" t="s">
        <v>168</v>
      </c>
    </row>
    <row r="20" customFormat="false" ht="43.5" hidden="false" customHeight="true" outlineLevel="0" collapsed="false">
      <c r="A20" s="5" t="s">
        <v>169</v>
      </c>
      <c r="B20" s="5" t="n">
        <v>2</v>
      </c>
      <c r="C20" s="5" t="s">
        <v>170</v>
      </c>
      <c r="D20" s="5" t="s">
        <v>92</v>
      </c>
      <c r="E20" s="5" t="s">
        <v>110</v>
      </c>
      <c r="F20" s="5" t="n">
        <v>3</v>
      </c>
      <c r="G20" s="5" t="n">
        <v>3</v>
      </c>
      <c r="H20" s="5" t="n">
        <v>2</v>
      </c>
      <c r="I20" s="5" t="n">
        <f aca="false">ROUND((F20*G20)/H20,2)</f>
        <v>4.5</v>
      </c>
      <c r="J20" s="5" t="str">
        <f aca="false">IF(I20&gt;=3,"Tier 1",IF(I20&gt;=1.5,"Tier 2","Tier 3"))</f>
        <v>Tier 1</v>
      </c>
      <c r="K20" s="5" t="s">
        <v>171</v>
      </c>
      <c r="L20" s="5" t="s">
        <v>105</v>
      </c>
      <c r="M20" s="5" t="s">
        <v>172</v>
      </c>
      <c r="N20" s="5" t="s">
        <v>96</v>
      </c>
      <c r="O20" s="5" t="s">
        <v>173</v>
      </c>
    </row>
    <row r="21" customFormat="false" ht="43.5" hidden="false" customHeight="true" outlineLevel="0" collapsed="false">
      <c r="A21" s="5" t="s">
        <v>174</v>
      </c>
      <c r="B21" s="5" t="n">
        <v>2</v>
      </c>
      <c r="C21" s="5" t="s">
        <v>175</v>
      </c>
      <c r="D21" s="5" t="s">
        <v>92</v>
      </c>
      <c r="E21" s="5" t="s">
        <v>93</v>
      </c>
      <c r="F21" s="5" t="n">
        <v>3</v>
      </c>
      <c r="G21" s="5" t="n">
        <v>3</v>
      </c>
      <c r="H21" s="5" t="n">
        <v>1</v>
      </c>
      <c r="I21" s="5" t="n">
        <f aca="false">ROUND((F21*G21)/H21,2)</f>
        <v>9</v>
      </c>
      <c r="J21" s="5" t="str">
        <f aca="false">IF(I21&gt;=3,"Tier 1",IF(I21&gt;=1.5,"Tier 2","Tier 3"))</f>
        <v>Tier 1</v>
      </c>
      <c r="K21" s="5" t="s">
        <v>176</v>
      </c>
      <c r="L21" s="5" t="s">
        <v>105</v>
      </c>
      <c r="M21" s="5" t="s">
        <v>177</v>
      </c>
      <c r="N21" s="5" t="s">
        <v>96</v>
      </c>
      <c r="O21" s="5" t="s">
        <v>149</v>
      </c>
    </row>
    <row r="22" customFormat="false" ht="43.5" hidden="false" customHeight="true" outlineLevel="0" collapsed="false">
      <c r="A22" s="5" t="s">
        <v>178</v>
      </c>
      <c r="B22" s="5" t="n">
        <v>2</v>
      </c>
      <c r="C22" s="5" t="s">
        <v>179</v>
      </c>
      <c r="D22" s="5" t="s">
        <v>92</v>
      </c>
      <c r="E22" s="5" t="s">
        <v>110</v>
      </c>
      <c r="F22" s="5" t="n">
        <v>3</v>
      </c>
      <c r="G22" s="5" t="n">
        <v>3</v>
      </c>
      <c r="H22" s="5" t="n">
        <v>2</v>
      </c>
      <c r="I22" s="5" t="n">
        <f aca="false">ROUND((F22*G22)/H22,2)</f>
        <v>4.5</v>
      </c>
      <c r="J22" s="5" t="str">
        <f aca="false">IF(I22&gt;=3,"Tier 1",IF(I22&gt;=1.5,"Tier 2","Tier 3"))</f>
        <v>Tier 1</v>
      </c>
      <c r="K22" s="5" t="s">
        <v>180</v>
      </c>
      <c r="L22" s="5" t="s">
        <v>105</v>
      </c>
      <c r="M22" s="5" t="s">
        <v>181</v>
      </c>
      <c r="N22" s="5" t="s">
        <v>96</v>
      </c>
      <c r="O22" s="5" t="s">
        <v>182</v>
      </c>
    </row>
    <row r="23" customFormat="false" ht="43.5" hidden="false" customHeight="true" outlineLevel="0" collapsed="false">
      <c r="A23" s="5" t="s">
        <v>183</v>
      </c>
      <c r="B23" s="5" t="n">
        <v>2</v>
      </c>
      <c r="C23" s="5" t="s">
        <v>184</v>
      </c>
      <c r="D23" s="5" t="s">
        <v>92</v>
      </c>
      <c r="E23" s="5" t="s">
        <v>110</v>
      </c>
      <c r="F23" s="5" t="n">
        <v>2</v>
      </c>
      <c r="G23" s="5" t="n">
        <v>3</v>
      </c>
      <c r="H23" s="5" t="n">
        <v>2</v>
      </c>
      <c r="I23" s="5" t="n">
        <f aca="false">ROUND((F23*G23)/H23,2)</f>
        <v>3</v>
      </c>
      <c r="J23" s="5" t="str">
        <f aca="false">IF(I23&gt;=3,"Tier 1",IF(I23&gt;=1.5,"Tier 2","Tier 3"))</f>
        <v>Tier 1</v>
      </c>
      <c r="K23" s="5" t="s">
        <v>185</v>
      </c>
      <c r="L23" s="5" t="s">
        <v>105</v>
      </c>
      <c r="M23" s="5" t="s">
        <v>186</v>
      </c>
      <c r="N23" s="5" t="s">
        <v>96</v>
      </c>
      <c r="O23" s="5" t="s">
        <v>187</v>
      </c>
    </row>
    <row r="24" customFormat="false" ht="43.5" hidden="false" customHeight="true" outlineLevel="0" collapsed="false">
      <c r="A24" s="5" t="s">
        <v>188</v>
      </c>
      <c r="B24" s="5" t="n">
        <v>2</v>
      </c>
      <c r="C24" s="5" t="s">
        <v>189</v>
      </c>
      <c r="D24" s="5" t="s">
        <v>92</v>
      </c>
      <c r="E24" s="5" t="s">
        <v>110</v>
      </c>
      <c r="F24" s="5" t="n">
        <v>3</v>
      </c>
      <c r="G24" s="5" t="n">
        <v>3</v>
      </c>
      <c r="H24" s="5" t="n">
        <v>1</v>
      </c>
      <c r="I24" s="5" t="n">
        <f aca="false">ROUND((F24*G24)/H24,2)</f>
        <v>9</v>
      </c>
      <c r="J24" s="5" t="str">
        <f aca="false">IF(I24&gt;=3,"Tier 1",IF(I24&gt;=1.5,"Tier 2","Tier 3"))</f>
        <v>Tier 1</v>
      </c>
      <c r="K24" s="5" t="s">
        <v>190</v>
      </c>
      <c r="L24" s="5" t="s">
        <v>105</v>
      </c>
      <c r="M24" s="5" t="s">
        <v>191</v>
      </c>
      <c r="N24" s="5" t="s">
        <v>96</v>
      </c>
      <c r="O24" s="5" t="s">
        <v>192</v>
      </c>
    </row>
    <row r="25" customFormat="false" ht="43.5" hidden="false" customHeight="true" outlineLevel="0" collapsed="false">
      <c r="A25" s="5" t="s">
        <v>193</v>
      </c>
      <c r="B25" s="5" t="n">
        <v>2</v>
      </c>
      <c r="C25" s="5" t="s">
        <v>194</v>
      </c>
      <c r="D25" s="5" t="s">
        <v>92</v>
      </c>
      <c r="E25" s="5" t="s">
        <v>110</v>
      </c>
      <c r="F25" s="5" t="n">
        <v>3</v>
      </c>
      <c r="G25" s="5" t="n">
        <v>3</v>
      </c>
      <c r="H25" s="5" t="n">
        <v>1</v>
      </c>
      <c r="I25" s="5" t="n">
        <f aca="false">ROUND((F25*G25)/H25,2)</f>
        <v>9</v>
      </c>
      <c r="J25" s="5" t="str">
        <f aca="false">IF(I25&gt;=3,"Tier 1",IF(I25&gt;=1.5,"Tier 2","Tier 3"))</f>
        <v>Tier 1</v>
      </c>
      <c r="K25" s="5" t="s">
        <v>195</v>
      </c>
      <c r="L25" s="5" t="s">
        <v>105</v>
      </c>
      <c r="M25" s="5" t="s">
        <v>191</v>
      </c>
      <c r="N25" s="5" t="s">
        <v>96</v>
      </c>
      <c r="O25" s="5" t="s">
        <v>192</v>
      </c>
    </row>
    <row r="26" customFormat="false" ht="43.5" hidden="false" customHeight="true" outlineLevel="0" collapsed="false">
      <c r="A26" s="5" t="s">
        <v>196</v>
      </c>
      <c r="B26" s="5" t="n">
        <v>2</v>
      </c>
      <c r="C26" s="5" t="s">
        <v>197</v>
      </c>
      <c r="D26" s="5" t="s">
        <v>92</v>
      </c>
      <c r="E26" s="5" t="s">
        <v>110</v>
      </c>
      <c r="F26" s="5" t="n">
        <v>3</v>
      </c>
      <c r="G26" s="5" t="n">
        <v>3</v>
      </c>
      <c r="H26" s="5" t="n">
        <v>1</v>
      </c>
      <c r="I26" s="5" t="n">
        <f aca="false">ROUND((F26*G26)/H26,2)</f>
        <v>9</v>
      </c>
      <c r="J26" s="5" t="str">
        <f aca="false">IF(I26&gt;=3,"Tier 1",IF(I26&gt;=1.5,"Tier 2","Tier 3"))</f>
        <v>Tier 1</v>
      </c>
      <c r="K26" s="5" t="s">
        <v>198</v>
      </c>
      <c r="L26" s="5" t="s">
        <v>105</v>
      </c>
      <c r="M26" s="5" t="s">
        <v>191</v>
      </c>
      <c r="N26" s="5" t="s">
        <v>96</v>
      </c>
      <c r="O26" s="5" t="s">
        <v>192</v>
      </c>
    </row>
    <row r="27" customFormat="false" ht="43.5" hidden="false" customHeight="true" outlineLevel="0" collapsed="false">
      <c r="A27" s="5" t="s">
        <v>199</v>
      </c>
      <c r="B27" s="5" t="n">
        <v>2</v>
      </c>
      <c r="C27" s="5" t="s">
        <v>200</v>
      </c>
      <c r="D27" s="5" t="s">
        <v>131</v>
      </c>
      <c r="E27" s="5" t="s">
        <v>110</v>
      </c>
      <c r="F27" s="5" t="n">
        <v>3</v>
      </c>
      <c r="G27" s="5" t="n">
        <v>3</v>
      </c>
      <c r="H27" s="5" t="n">
        <v>2</v>
      </c>
      <c r="I27" s="5" t="n">
        <f aca="false">ROUND((F27*G27)/H27,2)</f>
        <v>4.5</v>
      </c>
      <c r="J27" s="5" t="str">
        <f aca="false">IF(I27&gt;=3,"Tier 1",IF(I27&gt;=1.5,"Tier 2","Tier 3"))</f>
        <v>Tier 1</v>
      </c>
      <c r="K27" s="5" t="s">
        <v>201</v>
      </c>
      <c r="L27" s="5" t="s">
        <v>105</v>
      </c>
      <c r="M27" s="5" t="s">
        <v>202</v>
      </c>
      <c r="N27" s="5" t="s">
        <v>96</v>
      </c>
      <c r="O27" s="5" t="s">
        <v>203</v>
      </c>
    </row>
    <row r="28" customFormat="false" ht="43.5" hidden="false" customHeight="true" outlineLevel="0" collapsed="false">
      <c r="A28" s="5" t="s">
        <v>204</v>
      </c>
      <c r="B28" s="5" t="n">
        <v>2</v>
      </c>
      <c r="C28" s="5" t="s">
        <v>205</v>
      </c>
      <c r="D28" s="5" t="s">
        <v>92</v>
      </c>
      <c r="E28" s="5" t="s">
        <v>110</v>
      </c>
      <c r="F28" s="5" t="n">
        <v>2</v>
      </c>
      <c r="G28" s="5" t="n">
        <v>3</v>
      </c>
      <c r="H28" s="5" t="n">
        <v>2</v>
      </c>
      <c r="I28" s="5" t="n">
        <f aca="false">ROUND((F28*G28)/H28,2)</f>
        <v>3</v>
      </c>
      <c r="J28" s="5" t="str">
        <f aca="false">IF(I28&gt;=3,"Tier 1",IF(I28&gt;=1.5,"Tier 2","Tier 3"))</f>
        <v>Tier 1</v>
      </c>
      <c r="K28" s="5" t="s">
        <v>206</v>
      </c>
      <c r="L28" s="5" t="s">
        <v>105</v>
      </c>
      <c r="M28" s="5" t="s">
        <v>207</v>
      </c>
      <c r="N28" s="5" t="s">
        <v>96</v>
      </c>
      <c r="O28" s="5" t="s">
        <v>208</v>
      </c>
    </row>
    <row r="29" customFormat="false" ht="43.5" hidden="false" customHeight="true" outlineLevel="0" collapsed="false">
      <c r="A29" s="5" t="s">
        <v>209</v>
      </c>
      <c r="B29" s="5" t="n">
        <v>2</v>
      </c>
      <c r="C29" s="5" t="s">
        <v>210</v>
      </c>
      <c r="D29" s="5" t="s">
        <v>92</v>
      </c>
      <c r="E29" s="5" t="s">
        <v>110</v>
      </c>
      <c r="F29" s="5" t="n">
        <v>2</v>
      </c>
      <c r="G29" s="5" t="n">
        <v>2</v>
      </c>
      <c r="H29" s="5" t="n">
        <v>3</v>
      </c>
      <c r="I29" s="5" t="n">
        <f aca="false">ROUND((F29*G29)/H29,2)</f>
        <v>1.33</v>
      </c>
      <c r="J29" s="5" t="str">
        <f aca="false">IF(I29&gt;=3,"Tier 1",IF(I29&gt;=1.5,"Tier 2","Tier 3"))</f>
        <v>Tier 3</v>
      </c>
      <c r="K29" s="5" t="s">
        <v>211</v>
      </c>
      <c r="L29" s="5" t="s">
        <v>105</v>
      </c>
      <c r="M29" s="5" t="s">
        <v>212</v>
      </c>
      <c r="N29" s="5" t="s">
        <v>96</v>
      </c>
      <c r="O29" s="5" t="s">
        <v>213</v>
      </c>
    </row>
    <row r="30" customFormat="false" ht="43.5" hidden="false" customHeight="true" outlineLevel="0" collapsed="false">
      <c r="A30" s="5" t="s">
        <v>214</v>
      </c>
      <c r="B30" s="5" t="n">
        <v>2</v>
      </c>
      <c r="C30" s="5" t="s">
        <v>215</v>
      </c>
      <c r="D30" s="5" t="s">
        <v>92</v>
      </c>
      <c r="E30" s="5" t="s">
        <v>93</v>
      </c>
      <c r="F30" s="5" t="n">
        <v>3</v>
      </c>
      <c r="G30" s="5" t="n">
        <v>2</v>
      </c>
      <c r="H30" s="5" t="n">
        <v>3</v>
      </c>
      <c r="I30" s="5" t="n">
        <f aca="false">ROUND((F30*G30)/H30,2)</f>
        <v>2</v>
      </c>
      <c r="J30" s="5" t="str">
        <f aca="false">IF(I30&gt;=3,"Tier 1",IF(I30&gt;=1.5,"Tier 2","Tier 3"))</f>
        <v>Tier 2</v>
      </c>
      <c r="K30" s="5" t="s">
        <v>216</v>
      </c>
      <c r="L30" s="5" t="s">
        <v>217</v>
      </c>
      <c r="M30" s="5" t="s">
        <v>218</v>
      </c>
      <c r="N30" s="5" t="s">
        <v>96</v>
      </c>
      <c r="O30" s="5" t="s">
        <v>219</v>
      </c>
    </row>
    <row r="31" customFormat="false" ht="43.5" hidden="false" customHeight="true" outlineLevel="0" collapsed="false">
      <c r="A31" s="5" t="s">
        <v>220</v>
      </c>
      <c r="B31" s="5" t="n">
        <v>3</v>
      </c>
      <c r="C31" s="5" t="s">
        <v>221</v>
      </c>
      <c r="D31" s="5" t="s">
        <v>92</v>
      </c>
      <c r="E31" s="5" t="s">
        <v>93</v>
      </c>
      <c r="F31" s="5" t="n">
        <v>3</v>
      </c>
      <c r="G31" s="5" t="n">
        <v>3</v>
      </c>
      <c r="H31" s="5" t="n">
        <v>3</v>
      </c>
      <c r="I31" s="5" t="n">
        <f aca="false">ROUND((F31*G31)/H31,2)</f>
        <v>3</v>
      </c>
      <c r="J31" s="5" t="str">
        <f aca="false">IF(I31&gt;=3,"Tier 1",IF(I31&gt;=1.5,"Tier 2","Tier 3"))</f>
        <v>Tier 1</v>
      </c>
      <c r="K31" s="5" t="s">
        <v>222</v>
      </c>
      <c r="L31" s="5" t="s">
        <v>105</v>
      </c>
      <c r="M31" s="5" t="s">
        <v>223</v>
      </c>
      <c r="N31" s="5" t="s">
        <v>96</v>
      </c>
      <c r="O31" s="5" t="s">
        <v>224</v>
      </c>
    </row>
    <row r="32" customFormat="false" ht="43.5" hidden="false" customHeight="true" outlineLevel="0" collapsed="false">
      <c r="A32" s="5" t="s">
        <v>225</v>
      </c>
      <c r="B32" s="5" t="n">
        <v>3</v>
      </c>
      <c r="C32" s="5" t="s">
        <v>226</v>
      </c>
      <c r="D32" s="5" t="s">
        <v>92</v>
      </c>
      <c r="E32" s="5" t="s">
        <v>110</v>
      </c>
      <c r="F32" s="5" t="n">
        <v>3</v>
      </c>
      <c r="G32" s="5" t="n">
        <v>3</v>
      </c>
      <c r="H32" s="5" t="n">
        <v>3</v>
      </c>
      <c r="I32" s="5" t="n">
        <f aca="false">ROUND((F32*G32)/H32,2)</f>
        <v>3</v>
      </c>
      <c r="J32" s="5" t="str">
        <f aca="false">IF(I32&gt;=3,"Tier 1",IF(I32&gt;=1.5,"Tier 2","Tier 3"))</f>
        <v>Tier 1</v>
      </c>
      <c r="K32" s="5" t="s">
        <v>227</v>
      </c>
      <c r="L32" s="5" t="s">
        <v>105</v>
      </c>
      <c r="M32" s="5" t="s">
        <v>228</v>
      </c>
      <c r="N32" s="5" t="s">
        <v>96</v>
      </c>
      <c r="O32" s="5" t="s">
        <v>229</v>
      </c>
    </row>
    <row r="33" customFormat="false" ht="43.5" hidden="false" customHeight="true" outlineLevel="0" collapsed="false">
      <c r="A33" s="5" t="s">
        <v>230</v>
      </c>
      <c r="B33" s="5" t="n">
        <v>3</v>
      </c>
      <c r="C33" s="5" t="s">
        <v>231</v>
      </c>
      <c r="D33" s="5" t="s">
        <v>92</v>
      </c>
      <c r="E33" s="5" t="s">
        <v>93</v>
      </c>
      <c r="F33" s="5" t="n">
        <v>3</v>
      </c>
      <c r="G33" s="5" t="n">
        <v>3</v>
      </c>
      <c r="H33" s="5" t="n">
        <v>2</v>
      </c>
      <c r="I33" s="5" t="n">
        <f aca="false">ROUND((F33*G33)/H33,2)</f>
        <v>4.5</v>
      </c>
      <c r="J33" s="5" t="str">
        <f aca="false">IF(I33&gt;=3,"Tier 1",IF(I33&gt;=1.5,"Tier 2","Tier 3"))</f>
        <v>Tier 1</v>
      </c>
      <c r="K33" s="5" t="s">
        <v>232</v>
      </c>
      <c r="L33" s="5" t="s">
        <v>94</v>
      </c>
      <c r="M33" s="5" t="s">
        <v>233</v>
      </c>
      <c r="N33" s="5" t="s">
        <v>96</v>
      </c>
      <c r="O33" s="5" t="s">
        <v>234</v>
      </c>
    </row>
    <row r="34" customFormat="false" ht="43.5" hidden="false" customHeight="true" outlineLevel="0" collapsed="false">
      <c r="A34" s="5" t="s">
        <v>235</v>
      </c>
      <c r="B34" s="5" t="n">
        <v>3</v>
      </c>
      <c r="C34" s="5" t="s">
        <v>236</v>
      </c>
      <c r="D34" s="5" t="s">
        <v>92</v>
      </c>
      <c r="E34" s="5" t="s">
        <v>110</v>
      </c>
      <c r="F34" s="5" t="n">
        <v>3</v>
      </c>
      <c r="G34" s="5" t="n">
        <v>3</v>
      </c>
      <c r="H34" s="5" t="n">
        <v>1</v>
      </c>
      <c r="I34" s="5" t="n">
        <f aca="false">ROUND((F34*G34)/H34,2)</f>
        <v>9</v>
      </c>
      <c r="J34" s="5" t="str">
        <f aca="false">IF(I34&gt;=3,"Tier 1",IF(I34&gt;=1.5,"Tier 2","Tier 3"))</f>
        <v>Tier 1</v>
      </c>
      <c r="K34" s="5" t="s">
        <v>237</v>
      </c>
      <c r="L34" s="5" t="s">
        <v>94</v>
      </c>
      <c r="M34" s="5" t="s">
        <v>238</v>
      </c>
      <c r="N34" s="5" t="s">
        <v>96</v>
      </c>
      <c r="O34" s="5" t="s">
        <v>149</v>
      </c>
    </row>
    <row r="35" customFormat="false" ht="43.5" hidden="false" customHeight="true" outlineLevel="0" collapsed="false">
      <c r="A35" s="5" t="s">
        <v>239</v>
      </c>
      <c r="B35" s="5" t="n">
        <v>3</v>
      </c>
      <c r="C35" s="5" t="s">
        <v>240</v>
      </c>
      <c r="D35" s="5" t="s">
        <v>92</v>
      </c>
      <c r="E35" s="5" t="s">
        <v>110</v>
      </c>
      <c r="F35" s="5" t="n">
        <v>3</v>
      </c>
      <c r="G35" s="5" t="n">
        <v>3</v>
      </c>
      <c r="H35" s="5" t="n">
        <v>2</v>
      </c>
      <c r="I35" s="5" t="n">
        <f aca="false">ROUND((F35*G35)/H35,2)</f>
        <v>4.5</v>
      </c>
      <c r="J35" s="5" t="str">
        <f aca="false">IF(I35&gt;=3,"Tier 1",IF(I35&gt;=1.5,"Tier 2","Tier 3"))</f>
        <v>Tier 1</v>
      </c>
      <c r="K35" s="5" t="s">
        <v>241</v>
      </c>
      <c r="L35" s="5" t="s">
        <v>105</v>
      </c>
      <c r="M35" s="5" t="s">
        <v>242</v>
      </c>
      <c r="N35" s="5" t="s">
        <v>96</v>
      </c>
      <c r="O35" s="5" t="s">
        <v>243</v>
      </c>
    </row>
    <row r="36" customFormat="false" ht="43.5" hidden="false" customHeight="true" outlineLevel="0" collapsed="false">
      <c r="A36" s="5" t="s">
        <v>244</v>
      </c>
      <c r="B36" s="5" t="n">
        <v>3</v>
      </c>
      <c r="C36" s="5" t="s">
        <v>245</v>
      </c>
      <c r="D36" s="5" t="s">
        <v>92</v>
      </c>
      <c r="E36" s="5" t="s">
        <v>110</v>
      </c>
      <c r="F36" s="5" t="n">
        <v>3</v>
      </c>
      <c r="G36" s="5" t="n">
        <v>3</v>
      </c>
      <c r="H36" s="5" t="n">
        <v>1</v>
      </c>
      <c r="I36" s="5" t="n">
        <f aca="false">ROUND((F36*G36)/H36,2)</f>
        <v>9</v>
      </c>
      <c r="J36" s="5" t="str">
        <f aca="false">IF(I36&gt;=3,"Tier 1",IF(I36&gt;=1.5,"Tier 2","Tier 3"))</f>
        <v>Tier 1</v>
      </c>
      <c r="K36" s="5" t="s">
        <v>246</v>
      </c>
      <c r="L36" s="5" t="s">
        <v>105</v>
      </c>
      <c r="M36" s="5" t="s">
        <v>247</v>
      </c>
      <c r="N36" s="5" t="s">
        <v>96</v>
      </c>
      <c r="O36" s="5" t="s">
        <v>149</v>
      </c>
    </row>
    <row r="37" customFormat="false" ht="43.5" hidden="false" customHeight="true" outlineLevel="0" collapsed="false">
      <c r="A37" s="5" t="s">
        <v>248</v>
      </c>
      <c r="B37" s="5" t="n">
        <v>3</v>
      </c>
      <c r="C37" s="5" t="s">
        <v>249</v>
      </c>
      <c r="D37" s="5" t="s">
        <v>92</v>
      </c>
      <c r="E37" s="5" t="s">
        <v>110</v>
      </c>
      <c r="F37" s="5" t="n">
        <v>3</v>
      </c>
      <c r="G37" s="5" t="n">
        <v>3</v>
      </c>
      <c r="H37" s="5" t="n">
        <v>1</v>
      </c>
      <c r="I37" s="5" t="n">
        <f aca="false">ROUND((F37*G37)/H37,2)</f>
        <v>9</v>
      </c>
      <c r="J37" s="5" t="str">
        <f aca="false">IF(I37&gt;=3,"Tier 1",IF(I37&gt;=1.5,"Tier 2","Tier 3"))</f>
        <v>Tier 1</v>
      </c>
      <c r="K37" s="5" t="s">
        <v>250</v>
      </c>
      <c r="L37" s="5" t="s">
        <v>94</v>
      </c>
      <c r="M37" s="5" t="s">
        <v>251</v>
      </c>
      <c r="N37" s="5" t="s">
        <v>96</v>
      </c>
      <c r="O37" s="5" t="s">
        <v>252</v>
      </c>
    </row>
    <row r="38" customFormat="false" ht="43.5" hidden="false" customHeight="true" outlineLevel="0" collapsed="false">
      <c r="A38" s="5" t="s">
        <v>253</v>
      </c>
      <c r="B38" s="5" t="n">
        <v>3</v>
      </c>
      <c r="C38" s="5" t="s">
        <v>254</v>
      </c>
      <c r="D38" s="5" t="s">
        <v>92</v>
      </c>
      <c r="E38" s="5" t="s">
        <v>93</v>
      </c>
      <c r="F38" s="5" t="n">
        <v>2</v>
      </c>
      <c r="G38" s="5" t="n">
        <v>3</v>
      </c>
      <c r="H38" s="5" t="n">
        <v>1</v>
      </c>
      <c r="I38" s="5" t="n">
        <f aca="false">ROUND((F38*G38)/H38,2)</f>
        <v>6</v>
      </c>
      <c r="J38" s="5" t="str">
        <f aca="false">IF(I38&gt;=3,"Tier 1",IF(I38&gt;=1.5,"Tier 2","Tier 3"))</f>
        <v>Tier 1</v>
      </c>
      <c r="K38" s="5" t="s">
        <v>250</v>
      </c>
      <c r="L38" s="5" t="s">
        <v>94</v>
      </c>
      <c r="M38" s="5" t="s">
        <v>255</v>
      </c>
      <c r="N38" s="5" t="s">
        <v>96</v>
      </c>
      <c r="O38" s="5" t="s">
        <v>256</v>
      </c>
    </row>
    <row r="39" customFormat="false" ht="43.5" hidden="false" customHeight="true" outlineLevel="0" collapsed="false">
      <c r="A39" s="5" t="s">
        <v>257</v>
      </c>
      <c r="B39" s="5" t="n">
        <v>3</v>
      </c>
      <c r="C39" s="5" t="s">
        <v>258</v>
      </c>
      <c r="D39" s="5" t="s">
        <v>92</v>
      </c>
      <c r="E39" s="5" t="s">
        <v>93</v>
      </c>
      <c r="F39" s="5" t="n">
        <v>3</v>
      </c>
      <c r="G39" s="5" t="n">
        <v>3</v>
      </c>
      <c r="H39" s="5" t="n">
        <v>1</v>
      </c>
      <c r="I39" s="5" t="n">
        <f aca="false">ROUND((F39*G39)/H39,2)</f>
        <v>9</v>
      </c>
      <c r="J39" s="5" t="str">
        <f aca="false">IF(I39&gt;=3,"Tier 1",IF(I39&gt;=1.5,"Tier 2","Tier 3"))</f>
        <v>Tier 1</v>
      </c>
      <c r="K39" s="5" t="s">
        <v>259</v>
      </c>
      <c r="L39" s="5" t="s">
        <v>94</v>
      </c>
      <c r="M39" s="5" t="s">
        <v>260</v>
      </c>
      <c r="N39" s="5" t="s">
        <v>96</v>
      </c>
      <c r="O39" s="5" t="s">
        <v>261</v>
      </c>
    </row>
    <row r="40" customFormat="false" ht="43.5" hidden="false" customHeight="true" outlineLevel="0" collapsed="false">
      <c r="A40" s="5" t="s">
        <v>262</v>
      </c>
      <c r="B40" s="5" t="n">
        <v>3</v>
      </c>
      <c r="C40" s="5" t="s">
        <v>263</v>
      </c>
      <c r="D40" s="5" t="s">
        <v>92</v>
      </c>
      <c r="E40" s="5" t="s">
        <v>110</v>
      </c>
      <c r="F40" s="5" t="n">
        <v>3</v>
      </c>
      <c r="G40" s="5" t="n">
        <v>3</v>
      </c>
      <c r="H40" s="5" t="n">
        <v>2</v>
      </c>
      <c r="I40" s="5" t="n">
        <f aca="false">ROUND((F40*G40)/H40,2)</f>
        <v>4.5</v>
      </c>
      <c r="J40" s="5" t="str">
        <f aca="false">IF(I40&gt;=3,"Tier 1",IF(I40&gt;=1.5,"Tier 2","Tier 3"))</f>
        <v>Tier 1</v>
      </c>
      <c r="K40" s="5" t="s">
        <v>237</v>
      </c>
      <c r="L40" s="5" t="s">
        <v>94</v>
      </c>
      <c r="M40" s="5" t="s">
        <v>264</v>
      </c>
      <c r="N40" s="5" t="s">
        <v>96</v>
      </c>
      <c r="O40" s="5" t="s">
        <v>265</v>
      </c>
    </row>
    <row r="41" customFormat="false" ht="43.5" hidden="false" customHeight="true" outlineLevel="0" collapsed="false">
      <c r="A41" s="5" t="s">
        <v>266</v>
      </c>
      <c r="B41" s="5" t="n">
        <v>3</v>
      </c>
      <c r="C41" s="5" t="s">
        <v>267</v>
      </c>
      <c r="D41" s="5" t="s">
        <v>92</v>
      </c>
      <c r="E41" s="5" t="s">
        <v>110</v>
      </c>
      <c r="F41" s="5" t="n">
        <v>2</v>
      </c>
      <c r="G41" s="5" t="n">
        <v>3</v>
      </c>
      <c r="H41" s="5" t="n">
        <v>2</v>
      </c>
      <c r="I41" s="5" t="n">
        <f aca="false">ROUND((F41*G41)/H41,2)</f>
        <v>3</v>
      </c>
      <c r="J41" s="5" t="str">
        <f aca="false">IF(I41&gt;=3,"Tier 1",IF(I41&gt;=1.5,"Tier 2","Tier 3"))</f>
        <v>Tier 1</v>
      </c>
      <c r="K41" s="5" t="s">
        <v>268</v>
      </c>
      <c r="L41" s="5" t="s">
        <v>105</v>
      </c>
      <c r="M41" s="5" t="s">
        <v>269</v>
      </c>
      <c r="N41" s="5" t="s">
        <v>96</v>
      </c>
      <c r="O41" s="5" t="s">
        <v>270</v>
      </c>
    </row>
    <row r="42" customFormat="false" ht="43.5" hidden="false" customHeight="true" outlineLevel="0" collapsed="false">
      <c r="A42" s="5" t="s">
        <v>271</v>
      </c>
      <c r="B42" s="5" t="n">
        <v>3</v>
      </c>
      <c r="C42" s="5" t="s">
        <v>272</v>
      </c>
      <c r="D42" s="5" t="s">
        <v>92</v>
      </c>
      <c r="E42" s="5" t="s">
        <v>110</v>
      </c>
      <c r="F42" s="5" t="n">
        <v>3</v>
      </c>
      <c r="G42" s="5" t="n">
        <v>3</v>
      </c>
      <c r="H42" s="5" t="n">
        <v>1</v>
      </c>
      <c r="I42" s="5" t="n">
        <f aca="false">ROUND((F42*G42)/H42,2)</f>
        <v>9</v>
      </c>
      <c r="J42" s="5" t="str">
        <f aca="false">IF(I42&gt;=3,"Tier 1",IF(I42&gt;=1.5,"Tier 2","Tier 3"))</f>
        <v>Tier 1</v>
      </c>
      <c r="K42" s="5" t="s">
        <v>246</v>
      </c>
      <c r="L42" s="5" t="s">
        <v>105</v>
      </c>
      <c r="M42" s="5" t="s">
        <v>273</v>
      </c>
      <c r="N42" s="5" t="s">
        <v>96</v>
      </c>
      <c r="O42" s="5" t="s">
        <v>274</v>
      </c>
    </row>
    <row r="43" customFormat="false" ht="43.5" hidden="false" customHeight="true" outlineLevel="0" collapsed="false">
      <c r="A43" s="5" t="s">
        <v>275</v>
      </c>
      <c r="B43" s="5" t="n">
        <v>4</v>
      </c>
      <c r="C43" s="5" t="s">
        <v>276</v>
      </c>
      <c r="D43" s="5" t="s">
        <v>131</v>
      </c>
      <c r="E43" s="5" t="s">
        <v>162</v>
      </c>
      <c r="F43" s="5" t="n">
        <v>3</v>
      </c>
      <c r="G43" s="5" t="n">
        <v>3</v>
      </c>
      <c r="H43" s="5" t="n">
        <v>3</v>
      </c>
      <c r="I43" s="5" t="n">
        <f aca="false">ROUND((F43*G43)/H43,2)</f>
        <v>3</v>
      </c>
      <c r="J43" s="5" t="str">
        <f aca="false">IF(I43&gt;=3,"Tier 1",IF(I43&gt;=1.5,"Tier 2","Tier 3"))</f>
        <v>Tier 1</v>
      </c>
      <c r="K43" s="5" t="s">
        <v>277</v>
      </c>
      <c r="L43" s="5" t="s">
        <v>94</v>
      </c>
      <c r="M43" s="5" t="s">
        <v>278</v>
      </c>
      <c r="N43" s="5" t="s">
        <v>96</v>
      </c>
      <c r="O43" s="5" t="s">
        <v>279</v>
      </c>
    </row>
    <row r="44" customFormat="false" ht="43.5" hidden="false" customHeight="true" outlineLevel="0" collapsed="false">
      <c r="A44" s="5" t="s">
        <v>280</v>
      </c>
      <c r="B44" s="5" t="n">
        <v>4</v>
      </c>
      <c r="C44" s="5" t="s">
        <v>281</v>
      </c>
      <c r="D44" s="5" t="s">
        <v>131</v>
      </c>
      <c r="E44" s="5" t="s">
        <v>110</v>
      </c>
      <c r="F44" s="5" t="n">
        <v>3</v>
      </c>
      <c r="G44" s="5" t="n">
        <v>3</v>
      </c>
      <c r="H44" s="5" t="n">
        <v>2</v>
      </c>
      <c r="I44" s="5" t="n">
        <f aca="false">ROUND((F44*G44)/H44,2)</f>
        <v>4.5</v>
      </c>
      <c r="J44" s="5" t="str">
        <f aca="false">IF(I44&gt;=3,"Tier 1",IF(I44&gt;=1.5,"Tier 2","Tier 3"))</f>
        <v>Tier 1</v>
      </c>
      <c r="K44" s="5" t="s">
        <v>277</v>
      </c>
      <c r="L44" s="5" t="s">
        <v>94</v>
      </c>
      <c r="M44" s="5" t="s">
        <v>282</v>
      </c>
      <c r="N44" s="5" t="s">
        <v>96</v>
      </c>
      <c r="O44" s="5" t="s">
        <v>229</v>
      </c>
    </row>
    <row r="45" customFormat="false" ht="43.5" hidden="false" customHeight="true" outlineLevel="0" collapsed="false">
      <c r="A45" s="5" t="s">
        <v>283</v>
      </c>
      <c r="B45" s="5" t="n">
        <v>4</v>
      </c>
      <c r="C45" s="5" t="s">
        <v>284</v>
      </c>
      <c r="D45" s="5" t="s">
        <v>131</v>
      </c>
      <c r="E45" s="5" t="s">
        <v>110</v>
      </c>
      <c r="F45" s="5" t="n">
        <v>3</v>
      </c>
      <c r="G45" s="5" t="n">
        <v>3</v>
      </c>
      <c r="H45" s="5" t="n">
        <v>1</v>
      </c>
      <c r="I45" s="5" t="n">
        <f aca="false">ROUND((F45*G45)/H45,2)</f>
        <v>9</v>
      </c>
      <c r="J45" s="5" t="str">
        <f aca="false">IF(I45&gt;=3,"Tier 1",IF(I45&gt;=1.5,"Tier 2","Tier 3"))</f>
        <v>Tier 1</v>
      </c>
      <c r="K45" s="5" t="s">
        <v>285</v>
      </c>
      <c r="L45" s="5" t="s">
        <v>105</v>
      </c>
      <c r="M45" s="5" t="s">
        <v>286</v>
      </c>
      <c r="N45" s="5" t="s">
        <v>96</v>
      </c>
      <c r="O45" s="5" t="s">
        <v>149</v>
      </c>
    </row>
    <row r="46" customFormat="false" ht="43.5" hidden="false" customHeight="true" outlineLevel="0" collapsed="false">
      <c r="A46" s="5" t="s">
        <v>287</v>
      </c>
      <c r="B46" s="5" t="n">
        <v>4</v>
      </c>
      <c r="C46" s="5" t="s">
        <v>288</v>
      </c>
      <c r="D46" s="5" t="s">
        <v>131</v>
      </c>
      <c r="E46" s="5" t="s">
        <v>162</v>
      </c>
      <c r="F46" s="5" t="n">
        <v>3</v>
      </c>
      <c r="G46" s="5" t="n">
        <v>3</v>
      </c>
      <c r="H46" s="5" t="n">
        <v>2</v>
      </c>
      <c r="I46" s="5" t="n">
        <f aca="false">ROUND((F46*G46)/H46,2)</f>
        <v>4.5</v>
      </c>
      <c r="J46" s="5" t="str">
        <f aca="false">IF(I46&gt;=3,"Tier 1",IF(I46&gt;=1.5,"Tier 2","Tier 3"))</f>
        <v>Tier 1</v>
      </c>
      <c r="K46" s="5" t="s">
        <v>289</v>
      </c>
      <c r="L46" s="5" t="s">
        <v>94</v>
      </c>
      <c r="M46" s="5" t="s">
        <v>290</v>
      </c>
      <c r="N46" s="5" t="s">
        <v>96</v>
      </c>
      <c r="O46" s="5" t="s">
        <v>291</v>
      </c>
    </row>
    <row r="47" customFormat="false" ht="43.5" hidden="false" customHeight="true" outlineLevel="0" collapsed="false">
      <c r="A47" s="5" t="s">
        <v>292</v>
      </c>
      <c r="B47" s="5" t="n">
        <v>4</v>
      </c>
      <c r="C47" s="5" t="s">
        <v>293</v>
      </c>
      <c r="D47" s="5" t="s">
        <v>92</v>
      </c>
      <c r="E47" s="5" t="s">
        <v>93</v>
      </c>
      <c r="F47" s="5" t="n">
        <v>2</v>
      </c>
      <c r="G47" s="5" t="n">
        <v>3</v>
      </c>
      <c r="H47" s="5" t="n">
        <v>2</v>
      </c>
      <c r="I47" s="5" t="n">
        <f aca="false">ROUND((F47*G47)/H47,2)</f>
        <v>3</v>
      </c>
      <c r="J47" s="5" t="str">
        <f aca="false">IF(I47&gt;=3,"Tier 1",IF(I47&gt;=1.5,"Tier 2","Tier 3"))</f>
        <v>Tier 1</v>
      </c>
      <c r="K47" s="5" t="s">
        <v>294</v>
      </c>
      <c r="L47" s="5" t="s">
        <v>105</v>
      </c>
      <c r="M47" s="5" t="s">
        <v>295</v>
      </c>
      <c r="N47" s="5" t="s">
        <v>96</v>
      </c>
      <c r="O47" s="5" t="s">
        <v>296</v>
      </c>
    </row>
    <row r="48" customFormat="false" ht="43.5" hidden="false" customHeight="true" outlineLevel="0" collapsed="false">
      <c r="A48" s="5" t="s">
        <v>297</v>
      </c>
      <c r="B48" s="5" t="n">
        <v>4</v>
      </c>
      <c r="C48" s="5" t="s">
        <v>298</v>
      </c>
      <c r="D48" s="5" t="s">
        <v>131</v>
      </c>
      <c r="E48" s="5" t="s">
        <v>110</v>
      </c>
      <c r="F48" s="5" t="n">
        <v>3</v>
      </c>
      <c r="G48" s="5" t="n">
        <v>3</v>
      </c>
      <c r="H48" s="5" t="n">
        <v>2</v>
      </c>
      <c r="I48" s="5" t="n">
        <f aca="false">ROUND((F48*G48)/H48,2)</f>
        <v>4.5</v>
      </c>
      <c r="J48" s="5" t="str">
        <f aca="false">IF(I48&gt;=3,"Tier 1",IF(I48&gt;=1.5,"Tier 2","Tier 3"))</f>
        <v>Tier 1</v>
      </c>
      <c r="K48" s="5" t="s">
        <v>299</v>
      </c>
      <c r="L48" s="5" t="s">
        <v>105</v>
      </c>
      <c r="M48" s="5" t="s">
        <v>300</v>
      </c>
      <c r="N48" s="5" t="s">
        <v>96</v>
      </c>
      <c r="O48" s="5" t="s">
        <v>229</v>
      </c>
    </row>
    <row r="49" customFormat="false" ht="43.5" hidden="false" customHeight="true" outlineLevel="0" collapsed="false">
      <c r="A49" s="5" t="s">
        <v>301</v>
      </c>
      <c r="B49" s="5" t="n">
        <v>4</v>
      </c>
      <c r="C49" s="5" t="s">
        <v>302</v>
      </c>
      <c r="D49" s="5" t="s">
        <v>92</v>
      </c>
      <c r="E49" s="5" t="s">
        <v>110</v>
      </c>
      <c r="F49" s="5" t="n">
        <v>2</v>
      </c>
      <c r="G49" s="5" t="n">
        <v>3</v>
      </c>
      <c r="H49" s="5" t="n">
        <v>1</v>
      </c>
      <c r="I49" s="5" t="n">
        <f aca="false">ROUND((F49*G49)/H49,2)</f>
        <v>6</v>
      </c>
      <c r="J49" s="5" t="str">
        <f aca="false">IF(I49&gt;=3,"Tier 1",IF(I49&gt;=1.5,"Tier 2","Tier 3"))</f>
        <v>Tier 1</v>
      </c>
      <c r="K49" s="5" t="s">
        <v>303</v>
      </c>
      <c r="L49" s="5" t="s">
        <v>105</v>
      </c>
      <c r="M49" s="5" t="s">
        <v>295</v>
      </c>
      <c r="N49" s="5" t="s">
        <v>96</v>
      </c>
      <c r="O49" s="5" t="s">
        <v>149</v>
      </c>
    </row>
    <row r="50" customFormat="false" ht="43.5" hidden="false" customHeight="true" outlineLevel="0" collapsed="false">
      <c r="A50" s="5" t="s">
        <v>304</v>
      </c>
      <c r="B50" s="5" t="n">
        <v>4</v>
      </c>
      <c r="C50" s="5" t="s">
        <v>305</v>
      </c>
      <c r="D50" s="5" t="s">
        <v>92</v>
      </c>
      <c r="E50" s="5" t="s">
        <v>110</v>
      </c>
      <c r="F50" s="5" t="n">
        <v>3</v>
      </c>
      <c r="G50" s="5" t="n">
        <v>3</v>
      </c>
      <c r="H50" s="5" t="n">
        <v>2</v>
      </c>
      <c r="I50" s="5" t="n">
        <f aca="false">ROUND((F50*G50)/H50,2)</f>
        <v>4.5</v>
      </c>
      <c r="J50" s="5" t="str">
        <f aca="false">IF(I50&gt;=3,"Tier 1",IF(I50&gt;=1.5,"Tier 2","Tier 3"))</f>
        <v>Tier 1</v>
      </c>
      <c r="K50" s="5" t="s">
        <v>306</v>
      </c>
      <c r="L50" s="5" t="s">
        <v>105</v>
      </c>
      <c r="M50" s="5" t="s">
        <v>307</v>
      </c>
      <c r="N50" s="5" t="s">
        <v>96</v>
      </c>
      <c r="O50" s="5" t="s">
        <v>308</v>
      </c>
    </row>
    <row r="51" customFormat="false" ht="43.5" hidden="false" customHeight="true" outlineLevel="0" collapsed="false">
      <c r="A51" s="5" t="s">
        <v>309</v>
      </c>
      <c r="B51" s="5" t="n">
        <v>4</v>
      </c>
      <c r="C51" s="5" t="s">
        <v>310</v>
      </c>
      <c r="D51" s="5" t="s">
        <v>131</v>
      </c>
      <c r="E51" s="5" t="s">
        <v>162</v>
      </c>
      <c r="F51" s="5" t="n">
        <v>3</v>
      </c>
      <c r="G51" s="5" t="n">
        <v>3</v>
      </c>
      <c r="H51" s="5" t="n">
        <v>2</v>
      </c>
      <c r="I51" s="5" t="n">
        <f aca="false">ROUND((F51*G51)/H51,2)</f>
        <v>4.5</v>
      </c>
      <c r="J51" s="5" t="str">
        <f aca="false">IF(I51&gt;=3,"Tier 1",IF(I51&gt;=1.5,"Tier 2","Tier 3"))</f>
        <v>Tier 1</v>
      </c>
      <c r="K51" s="5" t="s">
        <v>277</v>
      </c>
      <c r="L51" s="5" t="s">
        <v>94</v>
      </c>
      <c r="M51" s="5" t="s">
        <v>311</v>
      </c>
      <c r="N51" s="5" t="s">
        <v>96</v>
      </c>
      <c r="O51" s="5" t="s">
        <v>312</v>
      </c>
    </row>
    <row r="52" customFormat="false" ht="43.5" hidden="false" customHeight="true" outlineLevel="0" collapsed="false">
      <c r="A52" s="5" t="s">
        <v>313</v>
      </c>
      <c r="B52" s="5" t="n">
        <v>5</v>
      </c>
      <c r="C52" s="5" t="s">
        <v>314</v>
      </c>
      <c r="D52" s="5" t="s">
        <v>92</v>
      </c>
      <c r="E52" s="5" t="s">
        <v>93</v>
      </c>
      <c r="F52" s="5" t="n">
        <v>3</v>
      </c>
      <c r="G52" s="5" t="n">
        <v>3</v>
      </c>
      <c r="H52" s="5" t="n">
        <v>3</v>
      </c>
      <c r="I52" s="5" t="n">
        <f aca="false">ROUND((F52*G52)/H52,2)</f>
        <v>3</v>
      </c>
      <c r="J52" s="5" t="str">
        <f aca="false">IF(I52&gt;=3,"Tier 1",IF(I52&gt;=1.5,"Tier 2","Tier 3"))</f>
        <v>Tier 1</v>
      </c>
      <c r="K52" s="5" t="s">
        <v>315</v>
      </c>
      <c r="L52" s="5" t="s">
        <v>105</v>
      </c>
      <c r="M52" s="5" t="s">
        <v>316</v>
      </c>
      <c r="N52" s="5" t="s">
        <v>96</v>
      </c>
      <c r="O52" s="5" t="s">
        <v>317</v>
      </c>
    </row>
    <row r="53" customFormat="false" ht="43.5" hidden="false" customHeight="true" outlineLevel="0" collapsed="false">
      <c r="A53" s="5" t="s">
        <v>318</v>
      </c>
      <c r="B53" s="5" t="n">
        <v>5</v>
      </c>
      <c r="C53" s="5" t="s">
        <v>319</v>
      </c>
      <c r="D53" s="5" t="s">
        <v>92</v>
      </c>
      <c r="E53" s="5" t="s">
        <v>93</v>
      </c>
      <c r="F53" s="5" t="n">
        <v>3</v>
      </c>
      <c r="G53" s="5" t="n">
        <v>3</v>
      </c>
      <c r="H53" s="5" t="n">
        <v>2</v>
      </c>
      <c r="I53" s="5" t="n">
        <f aca="false">ROUND((F53*G53)/H53,2)</f>
        <v>4.5</v>
      </c>
      <c r="J53" s="5" t="str">
        <f aca="false">IF(I53&gt;=3,"Tier 1",IF(I53&gt;=1.5,"Tier 2","Tier 3"))</f>
        <v>Tier 1</v>
      </c>
      <c r="K53" s="5" t="s">
        <v>320</v>
      </c>
      <c r="L53" s="5" t="s">
        <v>105</v>
      </c>
      <c r="M53" s="5" t="s">
        <v>321</v>
      </c>
      <c r="N53" s="5" t="s">
        <v>96</v>
      </c>
      <c r="O53" s="5" t="s">
        <v>229</v>
      </c>
    </row>
    <row r="54" customFormat="false" ht="43.5" hidden="false" customHeight="true" outlineLevel="0" collapsed="false">
      <c r="A54" s="5" t="s">
        <v>322</v>
      </c>
      <c r="B54" s="5" t="n">
        <v>5</v>
      </c>
      <c r="C54" s="5" t="s">
        <v>323</v>
      </c>
      <c r="D54" s="5" t="s">
        <v>92</v>
      </c>
      <c r="E54" s="5" t="s">
        <v>93</v>
      </c>
      <c r="F54" s="5" t="n">
        <v>3</v>
      </c>
      <c r="G54" s="5" t="n">
        <v>3</v>
      </c>
      <c r="H54" s="5" t="n">
        <v>1</v>
      </c>
      <c r="I54" s="5" t="n">
        <f aca="false">ROUND((F54*G54)/H54,2)</f>
        <v>9</v>
      </c>
      <c r="J54" s="5" t="str">
        <f aca="false">IF(I54&gt;=3,"Tier 1",IF(I54&gt;=1.5,"Tier 2","Tier 3"))</f>
        <v>Tier 1</v>
      </c>
      <c r="K54" s="5" t="s">
        <v>324</v>
      </c>
      <c r="L54" s="5" t="s">
        <v>94</v>
      </c>
      <c r="M54" s="5" t="s">
        <v>325</v>
      </c>
      <c r="N54" s="5" t="s">
        <v>96</v>
      </c>
      <c r="O54" s="5" t="s">
        <v>229</v>
      </c>
    </row>
    <row r="55" customFormat="false" ht="43.5" hidden="false" customHeight="true" outlineLevel="0" collapsed="false">
      <c r="A55" s="5" t="s">
        <v>326</v>
      </c>
      <c r="B55" s="5" t="n">
        <v>5</v>
      </c>
      <c r="C55" s="5" t="s">
        <v>327</v>
      </c>
      <c r="D55" s="5" t="s">
        <v>92</v>
      </c>
      <c r="E55" s="5" t="s">
        <v>93</v>
      </c>
      <c r="F55" s="5" t="n">
        <v>3</v>
      </c>
      <c r="G55" s="5" t="n">
        <v>3</v>
      </c>
      <c r="H55" s="5" t="n">
        <v>1</v>
      </c>
      <c r="I55" s="5" t="n">
        <f aca="false">ROUND((F55*G55)/H55,2)</f>
        <v>9</v>
      </c>
      <c r="J55" s="5" t="str">
        <f aca="false">IF(I55&gt;=3,"Tier 1",IF(I55&gt;=1.5,"Tier 2","Tier 3"))</f>
        <v>Tier 1</v>
      </c>
      <c r="K55" s="5" t="s">
        <v>328</v>
      </c>
      <c r="L55" s="5" t="s">
        <v>105</v>
      </c>
      <c r="M55" s="5" t="s">
        <v>329</v>
      </c>
      <c r="N55" s="5" t="s">
        <v>96</v>
      </c>
      <c r="O55" s="5" t="s">
        <v>149</v>
      </c>
    </row>
    <row r="56" customFormat="false" ht="43.5" hidden="false" customHeight="true" outlineLevel="0" collapsed="false">
      <c r="A56" s="5" t="s">
        <v>330</v>
      </c>
      <c r="B56" s="5" t="n">
        <v>5</v>
      </c>
      <c r="C56" s="5" t="s">
        <v>331</v>
      </c>
      <c r="D56" s="5" t="s">
        <v>92</v>
      </c>
      <c r="E56" s="5" t="s">
        <v>93</v>
      </c>
      <c r="F56" s="5" t="n">
        <v>2</v>
      </c>
      <c r="G56" s="5" t="n">
        <v>3</v>
      </c>
      <c r="H56" s="5" t="n">
        <v>3</v>
      </c>
      <c r="I56" s="5" t="n">
        <f aca="false">ROUND((F56*G56)/H56,2)</f>
        <v>2</v>
      </c>
      <c r="J56" s="5" t="str">
        <f aca="false">IF(I56&gt;=3,"Tier 1",IF(I56&gt;=1.5,"Tier 2","Tier 3"))</f>
        <v>Tier 2</v>
      </c>
      <c r="K56" s="5" t="s">
        <v>332</v>
      </c>
      <c r="L56" s="5" t="s">
        <v>105</v>
      </c>
      <c r="M56" s="5" t="s">
        <v>333</v>
      </c>
      <c r="N56" s="5" t="s">
        <v>96</v>
      </c>
      <c r="O56" s="5" t="s">
        <v>334</v>
      </c>
    </row>
    <row r="57" customFormat="false" ht="43.5" hidden="false" customHeight="true" outlineLevel="0" collapsed="false">
      <c r="A57" s="5" t="s">
        <v>335</v>
      </c>
      <c r="B57" s="5" t="n">
        <v>5</v>
      </c>
      <c r="C57" s="5" t="s">
        <v>336</v>
      </c>
      <c r="D57" s="5" t="s">
        <v>92</v>
      </c>
      <c r="E57" s="5" t="s">
        <v>110</v>
      </c>
      <c r="F57" s="5" t="n">
        <v>3</v>
      </c>
      <c r="G57" s="5" t="n">
        <v>3</v>
      </c>
      <c r="H57" s="5" t="n">
        <v>2</v>
      </c>
      <c r="I57" s="5" t="n">
        <f aca="false">ROUND((F57*G57)/H57,2)</f>
        <v>4.5</v>
      </c>
      <c r="J57" s="5" t="str">
        <f aca="false">IF(I57&gt;=3,"Tier 1",IF(I57&gt;=1.5,"Tier 2","Tier 3"))</f>
        <v>Tier 1</v>
      </c>
      <c r="K57" s="5" t="s">
        <v>337</v>
      </c>
      <c r="L57" s="5" t="s">
        <v>105</v>
      </c>
      <c r="M57" s="5" t="s">
        <v>295</v>
      </c>
      <c r="N57" s="5" t="s">
        <v>96</v>
      </c>
      <c r="O57" s="5" t="s">
        <v>229</v>
      </c>
    </row>
    <row r="58" customFormat="false" ht="43.5" hidden="false" customHeight="true" outlineLevel="0" collapsed="false">
      <c r="A58" s="5" t="s">
        <v>338</v>
      </c>
      <c r="B58" s="5" t="n">
        <v>5</v>
      </c>
      <c r="C58" s="5" t="s">
        <v>339</v>
      </c>
      <c r="D58" s="5" t="s">
        <v>92</v>
      </c>
      <c r="E58" s="5" t="s">
        <v>110</v>
      </c>
      <c r="F58" s="5" t="n">
        <v>2</v>
      </c>
      <c r="G58" s="5" t="n">
        <v>3</v>
      </c>
      <c r="H58" s="5" t="n">
        <v>3</v>
      </c>
      <c r="I58" s="5" t="n">
        <f aca="false">ROUND((F58*G58)/H58,2)</f>
        <v>2</v>
      </c>
      <c r="J58" s="5" t="str">
        <f aca="false">IF(I58&gt;=3,"Tier 1",IF(I58&gt;=1.5,"Tier 2","Tier 3"))</f>
        <v>Tier 2</v>
      </c>
      <c r="K58" s="5" t="s">
        <v>340</v>
      </c>
      <c r="L58" s="5" t="s">
        <v>105</v>
      </c>
      <c r="M58" s="5" t="s">
        <v>295</v>
      </c>
      <c r="N58" s="5" t="s">
        <v>96</v>
      </c>
      <c r="O58" s="5" t="s">
        <v>341</v>
      </c>
    </row>
    <row r="59" customFormat="false" ht="43.5" hidden="false" customHeight="true" outlineLevel="0" collapsed="false">
      <c r="A59" s="5" t="s">
        <v>342</v>
      </c>
      <c r="B59" s="5" t="n">
        <v>5</v>
      </c>
      <c r="C59" s="5" t="s">
        <v>343</v>
      </c>
      <c r="D59" s="5" t="s">
        <v>92</v>
      </c>
      <c r="E59" s="5" t="s">
        <v>110</v>
      </c>
      <c r="F59" s="5" t="n">
        <v>2</v>
      </c>
      <c r="G59" s="5" t="n">
        <v>3</v>
      </c>
      <c r="H59" s="5" t="n">
        <v>2</v>
      </c>
      <c r="I59" s="5" t="n">
        <f aca="false">ROUND((F59*G59)/H59,2)</f>
        <v>3</v>
      </c>
      <c r="J59" s="5" t="str">
        <f aca="false">IF(I59&gt;=3,"Tier 1",IF(I59&gt;=1.5,"Tier 2","Tier 3"))</f>
        <v>Tier 1</v>
      </c>
      <c r="K59" s="5" t="s">
        <v>344</v>
      </c>
      <c r="L59" s="5" t="s">
        <v>105</v>
      </c>
      <c r="M59" s="5" t="s">
        <v>295</v>
      </c>
      <c r="N59" s="5" t="s">
        <v>96</v>
      </c>
      <c r="O59" s="5" t="s">
        <v>296</v>
      </c>
    </row>
    <row r="60" customFormat="false" ht="43.5" hidden="false" customHeight="true" outlineLevel="0" collapsed="false">
      <c r="A60" s="5" t="s">
        <v>345</v>
      </c>
      <c r="B60" s="5" t="n">
        <v>5</v>
      </c>
      <c r="C60" s="5" t="s">
        <v>346</v>
      </c>
      <c r="D60" s="5" t="s">
        <v>92</v>
      </c>
      <c r="E60" s="5" t="s">
        <v>93</v>
      </c>
      <c r="F60" s="5" t="n">
        <v>2</v>
      </c>
      <c r="G60" s="5" t="n">
        <v>2</v>
      </c>
      <c r="H60" s="5" t="n">
        <v>3</v>
      </c>
      <c r="I60" s="5" t="n">
        <f aca="false">ROUND((F60*G60)/H60,2)</f>
        <v>1.33</v>
      </c>
      <c r="J60" s="5" t="str">
        <f aca="false">IF(I60&gt;=3,"Tier 1",IF(I60&gt;=1.5,"Tier 2","Tier 3"))</f>
        <v>Tier 3</v>
      </c>
      <c r="K60" s="5" t="s">
        <v>211</v>
      </c>
      <c r="L60" s="5" t="s">
        <v>105</v>
      </c>
      <c r="M60" s="5" t="s">
        <v>347</v>
      </c>
      <c r="N60" s="5" t="s">
        <v>96</v>
      </c>
      <c r="O60" s="5" t="s">
        <v>213</v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4"/>
    <col collapsed="false" customWidth="true" hidden="false" outlineLevel="0" max="3" min="3" style="0" width="70"/>
    <col collapsed="false" customWidth="true" hidden="false" outlineLevel="0" max="4" min="4" style="0" width="38"/>
    <col collapsed="false" customWidth="true" hidden="false" outlineLevel="0" max="5" min="5" style="0" width="13"/>
  </cols>
  <sheetData>
    <row r="1" customFormat="false" ht="19.7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349</v>
      </c>
    </row>
    <row r="4" customFormat="false" ht="26.85" hidden="false" customHeight="false" outlineLevel="0" collapsed="false">
      <c r="A4" s="7" t="s">
        <v>76</v>
      </c>
      <c r="B4" s="7" t="s">
        <v>350</v>
      </c>
      <c r="C4" s="7" t="s">
        <v>351</v>
      </c>
      <c r="D4" s="7" t="s">
        <v>85</v>
      </c>
      <c r="E4" s="7" t="s">
        <v>352</v>
      </c>
    </row>
    <row r="5" customFormat="false" ht="45.75" hidden="false" customHeight="true" outlineLevel="0" collapsed="false">
      <c r="A5" s="5" t="n">
        <v>1</v>
      </c>
      <c r="B5" s="5" t="s">
        <v>353</v>
      </c>
      <c r="C5" s="5" t="s">
        <v>354</v>
      </c>
      <c r="D5" s="5" t="s">
        <v>44</v>
      </c>
      <c r="E5" s="5" t="s">
        <v>355</v>
      </c>
    </row>
    <row r="6" customFormat="false" ht="45.75" hidden="false" customHeight="true" outlineLevel="0" collapsed="false">
      <c r="A6" s="5" t="n">
        <v>1</v>
      </c>
      <c r="B6" s="5" t="s">
        <v>356</v>
      </c>
      <c r="C6" s="5" t="s">
        <v>357</v>
      </c>
      <c r="D6" s="5" t="s">
        <v>358</v>
      </c>
      <c r="E6" s="5" t="s">
        <v>355</v>
      </c>
    </row>
    <row r="7" customFormat="false" ht="45.75" hidden="false" customHeight="true" outlineLevel="0" collapsed="false">
      <c r="A7" s="5" t="n">
        <v>1</v>
      </c>
      <c r="B7" s="5" t="s">
        <v>359</v>
      </c>
      <c r="C7" s="5" t="s">
        <v>360</v>
      </c>
      <c r="D7" s="5" t="s">
        <v>132</v>
      </c>
      <c r="E7" s="5" t="s">
        <v>355</v>
      </c>
    </row>
    <row r="8" customFormat="false" ht="45.75" hidden="false" customHeight="true" outlineLevel="0" collapsed="false">
      <c r="A8" s="5" t="n">
        <v>1</v>
      </c>
      <c r="B8" s="5" t="s">
        <v>361</v>
      </c>
      <c r="C8" s="5" t="s">
        <v>362</v>
      </c>
      <c r="D8" s="5" t="s">
        <v>363</v>
      </c>
      <c r="E8" s="5" t="s">
        <v>355</v>
      </c>
    </row>
    <row r="9" customFormat="false" ht="45.75" hidden="false" customHeight="true" outlineLevel="0" collapsed="false">
      <c r="A9" s="5" t="n">
        <v>1</v>
      </c>
      <c r="B9" s="5" t="s">
        <v>364</v>
      </c>
      <c r="C9" s="5" t="s">
        <v>365</v>
      </c>
      <c r="D9" s="5" t="s">
        <v>366</v>
      </c>
      <c r="E9" s="5" t="s">
        <v>355</v>
      </c>
    </row>
    <row r="10" customFormat="false" ht="45.75" hidden="false" customHeight="true" outlineLevel="0" collapsed="false">
      <c r="A10" s="5" t="n">
        <v>2</v>
      </c>
      <c r="B10" s="5" t="s">
        <v>367</v>
      </c>
      <c r="C10" s="5" t="s">
        <v>368</v>
      </c>
      <c r="D10" s="5" t="s">
        <v>50</v>
      </c>
      <c r="E10" s="5" t="s">
        <v>355</v>
      </c>
    </row>
    <row r="11" customFormat="false" ht="45.75" hidden="false" customHeight="true" outlineLevel="0" collapsed="false">
      <c r="A11" s="5" t="n">
        <v>2</v>
      </c>
      <c r="B11" s="5" t="s">
        <v>369</v>
      </c>
      <c r="C11" s="5" t="s">
        <v>370</v>
      </c>
      <c r="D11" s="5" t="s">
        <v>371</v>
      </c>
      <c r="E11" s="5" t="s">
        <v>355</v>
      </c>
    </row>
    <row r="12" customFormat="false" ht="45.75" hidden="false" customHeight="true" outlineLevel="0" collapsed="false">
      <c r="A12" s="5" t="n">
        <v>2</v>
      </c>
      <c r="B12" s="5" t="s">
        <v>372</v>
      </c>
      <c r="C12" s="5" t="s">
        <v>373</v>
      </c>
      <c r="D12" s="5" t="s">
        <v>374</v>
      </c>
      <c r="E12" s="5" t="s">
        <v>355</v>
      </c>
    </row>
    <row r="13" customFormat="false" ht="45.75" hidden="false" customHeight="true" outlineLevel="0" collapsed="false">
      <c r="A13" s="5" t="n">
        <v>2</v>
      </c>
      <c r="B13" s="5" t="s">
        <v>375</v>
      </c>
      <c r="C13" s="5" t="s">
        <v>376</v>
      </c>
      <c r="D13" s="5" t="s">
        <v>377</v>
      </c>
      <c r="E13" s="5" t="s">
        <v>355</v>
      </c>
    </row>
    <row r="14" customFormat="false" ht="45.75" hidden="false" customHeight="true" outlineLevel="0" collapsed="false">
      <c r="A14" s="5" t="n">
        <v>2</v>
      </c>
      <c r="B14" s="5" t="s">
        <v>378</v>
      </c>
      <c r="C14" s="5" t="s">
        <v>379</v>
      </c>
      <c r="D14" s="5" t="s">
        <v>380</v>
      </c>
      <c r="E14" s="5" t="s">
        <v>355</v>
      </c>
    </row>
    <row r="15" customFormat="false" ht="45.75" hidden="false" customHeight="true" outlineLevel="0" collapsed="false">
      <c r="A15" s="5" t="n">
        <v>3</v>
      </c>
      <c r="B15" s="5" t="s">
        <v>381</v>
      </c>
      <c r="C15" s="5" t="s">
        <v>382</v>
      </c>
      <c r="D15" s="5" t="s">
        <v>232</v>
      </c>
      <c r="E15" s="5" t="s">
        <v>355</v>
      </c>
    </row>
    <row r="16" customFormat="false" ht="45.75" hidden="false" customHeight="true" outlineLevel="0" collapsed="false">
      <c r="A16" s="5" t="n">
        <v>3</v>
      </c>
      <c r="B16" s="5" t="s">
        <v>383</v>
      </c>
      <c r="C16" s="5" t="s">
        <v>384</v>
      </c>
      <c r="D16" s="5" t="s">
        <v>237</v>
      </c>
      <c r="E16" s="5" t="s">
        <v>355</v>
      </c>
    </row>
    <row r="17" customFormat="false" ht="45.75" hidden="false" customHeight="true" outlineLevel="0" collapsed="false">
      <c r="A17" s="5" t="n">
        <v>3</v>
      </c>
      <c r="B17" s="5" t="s">
        <v>385</v>
      </c>
      <c r="C17" s="5" t="s">
        <v>386</v>
      </c>
      <c r="D17" s="5" t="s">
        <v>237</v>
      </c>
      <c r="E17" s="5" t="s">
        <v>387</v>
      </c>
    </row>
    <row r="18" customFormat="false" ht="45.75" hidden="false" customHeight="true" outlineLevel="0" collapsed="false">
      <c r="A18" s="5" t="n">
        <v>3</v>
      </c>
      <c r="B18" s="5" t="s">
        <v>388</v>
      </c>
      <c r="C18" s="5" t="s">
        <v>389</v>
      </c>
      <c r="D18" s="5" t="s">
        <v>390</v>
      </c>
      <c r="E18" s="5" t="s">
        <v>355</v>
      </c>
    </row>
    <row r="19" customFormat="false" ht="45.75" hidden="false" customHeight="true" outlineLevel="0" collapsed="false">
      <c r="A19" s="5" t="n">
        <v>3</v>
      </c>
      <c r="B19" s="5" t="s">
        <v>391</v>
      </c>
      <c r="C19" s="5" t="s">
        <v>392</v>
      </c>
      <c r="D19" s="5" t="s">
        <v>250</v>
      </c>
      <c r="E19" s="5" t="s">
        <v>355</v>
      </c>
    </row>
    <row r="20" customFormat="false" ht="45.75" hidden="false" customHeight="true" outlineLevel="0" collapsed="false">
      <c r="A20" s="5" t="n">
        <v>4</v>
      </c>
      <c r="B20" s="5" t="s">
        <v>393</v>
      </c>
      <c r="C20" s="5" t="s">
        <v>394</v>
      </c>
      <c r="D20" s="5" t="s">
        <v>395</v>
      </c>
      <c r="E20" s="5" t="s">
        <v>355</v>
      </c>
    </row>
    <row r="21" customFormat="false" ht="45.75" hidden="false" customHeight="true" outlineLevel="0" collapsed="false">
      <c r="A21" s="5" t="n">
        <v>4</v>
      </c>
      <c r="B21" s="5" t="s">
        <v>396</v>
      </c>
      <c r="C21" s="5" t="s">
        <v>397</v>
      </c>
      <c r="D21" s="5" t="s">
        <v>277</v>
      </c>
      <c r="E21" s="5" t="s">
        <v>355</v>
      </c>
    </row>
    <row r="22" customFormat="false" ht="45.75" hidden="false" customHeight="true" outlineLevel="0" collapsed="false">
      <c r="A22" s="5" t="n">
        <v>4</v>
      </c>
      <c r="B22" s="5" t="s">
        <v>398</v>
      </c>
      <c r="C22" s="5" t="s">
        <v>399</v>
      </c>
      <c r="D22" s="5" t="s">
        <v>400</v>
      </c>
      <c r="E22" s="5" t="s">
        <v>355</v>
      </c>
    </row>
    <row r="23" customFormat="false" ht="45.75" hidden="false" customHeight="true" outlineLevel="0" collapsed="false">
      <c r="A23" s="5" t="n">
        <v>4</v>
      </c>
      <c r="B23" s="5" t="s">
        <v>401</v>
      </c>
      <c r="C23" s="5" t="s">
        <v>402</v>
      </c>
      <c r="D23" s="5" t="s">
        <v>277</v>
      </c>
      <c r="E23" s="5" t="s">
        <v>355</v>
      </c>
    </row>
    <row r="24" customFormat="false" ht="45.75" hidden="false" customHeight="true" outlineLevel="0" collapsed="false">
      <c r="A24" s="5" t="n">
        <v>5</v>
      </c>
      <c r="B24" s="5" t="s">
        <v>403</v>
      </c>
      <c r="C24" s="5" t="s">
        <v>404</v>
      </c>
      <c r="D24" s="5" t="s">
        <v>405</v>
      </c>
      <c r="E24" s="5" t="s">
        <v>355</v>
      </c>
    </row>
    <row r="25" customFormat="false" ht="45.75" hidden="false" customHeight="true" outlineLevel="0" collapsed="false">
      <c r="A25" s="5" t="n">
        <v>5</v>
      </c>
      <c r="B25" s="5" t="s">
        <v>406</v>
      </c>
      <c r="C25" s="5" t="s">
        <v>407</v>
      </c>
      <c r="D25" s="5" t="s">
        <v>408</v>
      </c>
      <c r="E25" s="5" t="s">
        <v>355</v>
      </c>
    </row>
    <row r="26" customFormat="false" ht="45.75" hidden="false" customHeight="true" outlineLevel="0" collapsed="false">
      <c r="A26" s="5" t="n">
        <v>5</v>
      </c>
      <c r="B26" s="5" t="s">
        <v>409</v>
      </c>
      <c r="C26" s="5" t="s">
        <v>410</v>
      </c>
      <c r="D26" s="5" t="s">
        <v>411</v>
      </c>
      <c r="E26" s="5" t="s">
        <v>355</v>
      </c>
    </row>
    <row r="27" customFormat="false" ht="45.75" hidden="false" customHeight="true" outlineLevel="0" collapsed="false">
      <c r="A27" s="5" t="n">
        <v>5</v>
      </c>
      <c r="B27" s="5" t="s">
        <v>412</v>
      </c>
      <c r="C27" s="5" t="s">
        <v>413</v>
      </c>
      <c r="D27" s="5" t="s">
        <v>414</v>
      </c>
      <c r="E27" s="5" t="s">
        <v>355</v>
      </c>
    </row>
  </sheetData>
  <autoFilter ref="A4:E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8"/>
    <col collapsed="false" customWidth="true" hidden="false" outlineLevel="0" max="3" min="3" style="0" width="44"/>
    <col collapsed="false" customWidth="true" hidden="false" outlineLevel="0" max="4" min="4" style="0" width="56"/>
    <col collapsed="false" customWidth="true" hidden="false" outlineLevel="0" max="5" min="5" style="0" width="3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36"/>
  </cols>
  <sheetData>
    <row r="1" customFormat="false" ht="19.7" hidden="false" customHeight="false" outlineLevel="0" collapsed="false">
      <c r="A1" s="1" t="s">
        <v>415</v>
      </c>
    </row>
    <row r="2" customFormat="false" ht="15" hidden="false" customHeight="false" outlineLevel="0" collapsed="false">
      <c r="A2" s="2" t="s">
        <v>416</v>
      </c>
    </row>
    <row r="4" customFormat="false" ht="39.55" hidden="false" customHeight="false" outlineLevel="0" collapsed="false">
      <c r="A4" s="7" t="s">
        <v>417</v>
      </c>
      <c r="B4" s="7" t="s">
        <v>76</v>
      </c>
      <c r="C4" s="7" t="s">
        <v>418</v>
      </c>
      <c r="D4" s="7" t="s">
        <v>419</v>
      </c>
      <c r="E4" s="7" t="s">
        <v>420</v>
      </c>
      <c r="F4" s="7" t="s">
        <v>421</v>
      </c>
      <c r="G4" s="7" t="s">
        <v>422</v>
      </c>
      <c r="H4" s="7" t="s">
        <v>423</v>
      </c>
    </row>
    <row r="5" customFormat="false" ht="33.75" hidden="false" customHeight="true" outlineLevel="0" collapsed="false">
      <c r="A5" s="5" t="s">
        <v>424</v>
      </c>
      <c r="B5" s="5" t="n">
        <v>3</v>
      </c>
      <c r="C5" s="5" t="s">
        <v>425</v>
      </c>
      <c r="D5" s="5" t="s">
        <v>426</v>
      </c>
      <c r="E5" s="5" t="s">
        <v>221</v>
      </c>
      <c r="F5" s="5" t="n">
        <v>3000</v>
      </c>
      <c r="G5" s="5" t="s">
        <v>229</v>
      </c>
      <c r="H5" s="5" t="s">
        <v>427</v>
      </c>
    </row>
    <row r="6" customFormat="false" ht="33.75" hidden="false" customHeight="true" outlineLevel="0" collapsed="false">
      <c r="A6" s="5" t="s">
        <v>424</v>
      </c>
      <c r="B6" s="5" t="n">
        <v>5</v>
      </c>
      <c r="C6" s="5" t="s">
        <v>428</v>
      </c>
      <c r="D6" s="5" t="s">
        <v>429</v>
      </c>
      <c r="E6" s="5" t="s">
        <v>314</v>
      </c>
      <c r="F6" s="5" t="n">
        <v>2800</v>
      </c>
      <c r="G6" s="5" t="s">
        <v>229</v>
      </c>
      <c r="H6" s="5" t="s">
        <v>430</v>
      </c>
    </row>
    <row r="7" customFormat="false" ht="33.75" hidden="false" customHeight="true" outlineLevel="0" collapsed="false">
      <c r="A7" s="5" t="s">
        <v>431</v>
      </c>
      <c r="B7" s="5" t="n">
        <v>1</v>
      </c>
      <c r="C7" s="5" t="s">
        <v>44</v>
      </c>
      <c r="D7" s="5" t="s">
        <v>432</v>
      </c>
      <c r="E7" s="5" t="s">
        <v>91</v>
      </c>
      <c r="F7" s="5" t="s">
        <v>433</v>
      </c>
      <c r="G7" s="5" t="s">
        <v>229</v>
      </c>
      <c r="H7" s="5" t="s">
        <v>434</v>
      </c>
    </row>
    <row r="8" customFormat="false" ht="33.75" hidden="false" customHeight="true" outlineLevel="0" collapsed="false">
      <c r="A8" s="5" t="s">
        <v>435</v>
      </c>
      <c r="B8" s="5" t="n">
        <v>4</v>
      </c>
      <c r="C8" s="5" t="s">
        <v>436</v>
      </c>
      <c r="D8" s="5" t="s">
        <v>437</v>
      </c>
      <c r="E8" s="5" t="s">
        <v>276</v>
      </c>
      <c r="F8" s="5" t="n">
        <v>1500</v>
      </c>
      <c r="G8" s="5" t="s">
        <v>296</v>
      </c>
      <c r="H8" s="5" t="s">
        <v>438</v>
      </c>
    </row>
    <row r="9" customFormat="false" ht="33.75" hidden="false" customHeight="true" outlineLevel="0" collapsed="false">
      <c r="A9" s="5" t="s">
        <v>295</v>
      </c>
      <c r="B9" s="5" t="n">
        <v>1</v>
      </c>
      <c r="C9" s="5" t="s">
        <v>439</v>
      </c>
      <c r="D9" s="5" t="s">
        <v>440</v>
      </c>
      <c r="E9" s="5" t="s">
        <v>103</v>
      </c>
      <c r="F9" s="5" t="n">
        <v>1800</v>
      </c>
      <c r="G9" s="5" t="s">
        <v>229</v>
      </c>
      <c r="H9" s="5" t="s">
        <v>441</v>
      </c>
    </row>
    <row r="10" customFormat="false" ht="33.75" hidden="false" customHeight="true" outlineLevel="0" collapsed="false">
      <c r="A10" s="5" t="s">
        <v>295</v>
      </c>
      <c r="B10" s="5" t="n">
        <v>1</v>
      </c>
      <c r="C10" s="5" t="s">
        <v>442</v>
      </c>
      <c r="D10" s="5" t="s">
        <v>443</v>
      </c>
      <c r="E10" s="5" t="s">
        <v>109</v>
      </c>
      <c r="F10" s="5" t="n">
        <v>1400</v>
      </c>
      <c r="G10" s="5" t="s">
        <v>229</v>
      </c>
      <c r="H10" s="5" t="s">
        <v>444</v>
      </c>
    </row>
    <row r="11" customFormat="false" ht="33.75" hidden="false" customHeight="true" outlineLevel="0" collapsed="false">
      <c r="A11" s="5" t="s">
        <v>295</v>
      </c>
      <c r="B11" s="5" t="n">
        <v>1</v>
      </c>
      <c r="C11" s="5" t="s">
        <v>445</v>
      </c>
      <c r="D11" s="5" t="s">
        <v>446</v>
      </c>
      <c r="E11" s="5" t="s">
        <v>120</v>
      </c>
      <c r="F11" s="5" t="n">
        <v>1600</v>
      </c>
      <c r="G11" s="5" t="s">
        <v>229</v>
      </c>
      <c r="H11" s="5" t="s">
        <v>441</v>
      </c>
    </row>
    <row r="12" customFormat="false" ht="33.75" hidden="false" customHeight="true" outlineLevel="0" collapsed="false">
      <c r="A12" s="5" t="s">
        <v>295</v>
      </c>
      <c r="B12" s="5" t="n">
        <v>1</v>
      </c>
      <c r="C12" s="5" t="s">
        <v>447</v>
      </c>
      <c r="D12" s="5" t="s">
        <v>448</v>
      </c>
      <c r="E12" s="5" t="s">
        <v>125</v>
      </c>
      <c r="F12" s="5" t="n">
        <v>1500</v>
      </c>
      <c r="G12" s="5" t="s">
        <v>296</v>
      </c>
      <c r="H12" s="5" t="s">
        <v>441</v>
      </c>
    </row>
    <row r="13" customFormat="false" ht="33.75" hidden="false" customHeight="true" outlineLevel="0" collapsed="false">
      <c r="A13" s="5" t="s">
        <v>295</v>
      </c>
      <c r="B13" s="5" t="n">
        <v>1</v>
      </c>
      <c r="C13" s="5" t="s">
        <v>449</v>
      </c>
      <c r="D13" s="5" t="s">
        <v>450</v>
      </c>
      <c r="E13" s="5" t="s">
        <v>141</v>
      </c>
      <c r="F13" s="5" t="n">
        <v>1400</v>
      </c>
      <c r="G13" s="5" t="s">
        <v>229</v>
      </c>
      <c r="H13" s="5" t="s">
        <v>451</v>
      </c>
    </row>
    <row r="14" customFormat="false" ht="33.75" hidden="false" customHeight="true" outlineLevel="0" collapsed="false">
      <c r="A14" s="5" t="s">
        <v>295</v>
      </c>
      <c r="B14" s="5" t="n">
        <v>1</v>
      </c>
      <c r="C14" s="5" t="s">
        <v>452</v>
      </c>
      <c r="D14" s="5" t="s">
        <v>453</v>
      </c>
      <c r="E14" s="5" t="s">
        <v>136</v>
      </c>
      <c r="F14" s="5" t="n">
        <v>1500</v>
      </c>
      <c r="G14" s="5" t="s">
        <v>229</v>
      </c>
      <c r="H14" s="5" t="s">
        <v>454</v>
      </c>
    </row>
    <row r="15" customFormat="false" ht="33.75" hidden="false" customHeight="true" outlineLevel="0" collapsed="false">
      <c r="A15" s="5" t="s">
        <v>295</v>
      </c>
      <c r="B15" s="5" t="n">
        <v>1</v>
      </c>
      <c r="C15" s="5" t="s">
        <v>455</v>
      </c>
      <c r="D15" s="5" t="s">
        <v>456</v>
      </c>
      <c r="E15" s="5" t="s">
        <v>146</v>
      </c>
      <c r="F15" s="5" t="n">
        <v>1400</v>
      </c>
      <c r="G15" s="5" t="s">
        <v>229</v>
      </c>
      <c r="H15" s="5" t="s">
        <v>441</v>
      </c>
    </row>
    <row r="16" customFormat="false" ht="33.75" hidden="false" customHeight="true" outlineLevel="0" collapsed="false">
      <c r="A16" s="5" t="s">
        <v>295</v>
      </c>
      <c r="B16" s="5" t="n">
        <v>2</v>
      </c>
      <c r="C16" s="5" t="s">
        <v>457</v>
      </c>
      <c r="D16" s="5" t="s">
        <v>458</v>
      </c>
      <c r="E16" s="5" t="s">
        <v>170</v>
      </c>
      <c r="F16" s="5" t="n">
        <v>1800</v>
      </c>
      <c r="G16" s="5" t="s">
        <v>229</v>
      </c>
      <c r="H16" s="5" t="s">
        <v>459</v>
      </c>
    </row>
    <row r="17" customFormat="false" ht="33.75" hidden="false" customHeight="true" outlineLevel="0" collapsed="false">
      <c r="A17" s="5" t="s">
        <v>295</v>
      </c>
      <c r="B17" s="5" t="n">
        <v>2</v>
      </c>
      <c r="C17" s="5" t="s">
        <v>460</v>
      </c>
      <c r="D17" s="5" t="s">
        <v>461</v>
      </c>
      <c r="E17" s="5" t="s">
        <v>175</v>
      </c>
      <c r="F17" s="5" t="n">
        <v>1200</v>
      </c>
      <c r="G17" s="5" t="s">
        <v>229</v>
      </c>
      <c r="H17" s="5" t="s">
        <v>462</v>
      </c>
    </row>
    <row r="18" customFormat="false" ht="33.75" hidden="false" customHeight="true" outlineLevel="0" collapsed="false">
      <c r="A18" s="5" t="s">
        <v>295</v>
      </c>
      <c r="B18" s="5" t="n">
        <v>2</v>
      </c>
      <c r="C18" s="5" t="s">
        <v>463</v>
      </c>
      <c r="D18" s="5" t="s">
        <v>464</v>
      </c>
      <c r="E18" s="5" t="s">
        <v>179</v>
      </c>
      <c r="F18" s="5" t="n">
        <v>1600</v>
      </c>
      <c r="G18" s="5" t="s">
        <v>229</v>
      </c>
      <c r="H18" s="5" t="s">
        <v>441</v>
      </c>
    </row>
    <row r="19" customFormat="false" ht="33.75" hidden="false" customHeight="true" outlineLevel="0" collapsed="false">
      <c r="A19" s="5" t="s">
        <v>295</v>
      </c>
      <c r="B19" s="5" t="n">
        <v>2</v>
      </c>
      <c r="C19" s="5" t="s">
        <v>465</v>
      </c>
      <c r="D19" s="5" t="s">
        <v>466</v>
      </c>
      <c r="E19" s="5" t="s">
        <v>189</v>
      </c>
      <c r="F19" s="5" t="n">
        <v>1300</v>
      </c>
      <c r="G19" s="5" t="s">
        <v>229</v>
      </c>
      <c r="H19" s="5" t="s">
        <v>467</v>
      </c>
    </row>
    <row r="20" customFormat="false" ht="33.75" hidden="false" customHeight="true" outlineLevel="0" collapsed="false">
      <c r="A20" s="5" t="s">
        <v>295</v>
      </c>
      <c r="B20" s="5" t="n">
        <v>2</v>
      </c>
      <c r="C20" s="5" t="s">
        <v>468</v>
      </c>
      <c r="D20" s="5" t="s">
        <v>469</v>
      </c>
      <c r="E20" s="5" t="s">
        <v>194</v>
      </c>
      <c r="F20" s="5" t="n">
        <v>1300</v>
      </c>
      <c r="G20" s="5" t="s">
        <v>229</v>
      </c>
      <c r="H20" s="5" t="s">
        <v>441</v>
      </c>
    </row>
    <row r="21" customFormat="false" ht="33.75" hidden="false" customHeight="true" outlineLevel="0" collapsed="false">
      <c r="A21" s="5" t="s">
        <v>295</v>
      </c>
      <c r="B21" s="5" t="n">
        <v>2</v>
      </c>
      <c r="C21" s="5" t="s">
        <v>470</v>
      </c>
      <c r="D21" s="5" t="s">
        <v>471</v>
      </c>
      <c r="E21" s="5" t="s">
        <v>197</v>
      </c>
      <c r="F21" s="5" t="n">
        <v>1300</v>
      </c>
      <c r="G21" s="5" t="s">
        <v>296</v>
      </c>
      <c r="H21" s="5" t="s">
        <v>441</v>
      </c>
    </row>
    <row r="22" customFormat="false" ht="33.75" hidden="false" customHeight="true" outlineLevel="0" collapsed="false">
      <c r="A22" s="5" t="s">
        <v>295</v>
      </c>
      <c r="B22" s="5" t="n">
        <v>2</v>
      </c>
      <c r="C22" s="5" t="s">
        <v>472</v>
      </c>
      <c r="D22" s="5" t="s">
        <v>473</v>
      </c>
      <c r="E22" s="5" t="s">
        <v>200</v>
      </c>
      <c r="F22" s="5" t="n">
        <v>1500</v>
      </c>
      <c r="G22" s="5" t="s">
        <v>229</v>
      </c>
      <c r="H22" s="5" t="s">
        <v>441</v>
      </c>
    </row>
    <row r="23" customFormat="false" ht="33.75" hidden="false" customHeight="true" outlineLevel="0" collapsed="false">
      <c r="A23" s="5" t="s">
        <v>295</v>
      </c>
      <c r="B23" s="5" t="n">
        <v>2</v>
      </c>
      <c r="C23" s="5" t="s">
        <v>474</v>
      </c>
      <c r="D23" s="5" t="s">
        <v>475</v>
      </c>
      <c r="E23" s="5" t="s">
        <v>205</v>
      </c>
      <c r="F23" s="5" t="n">
        <v>1400</v>
      </c>
      <c r="G23" s="5" t="s">
        <v>296</v>
      </c>
      <c r="H23" s="5" t="s">
        <v>441</v>
      </c>
    </row>
    <row r="24" customFormat="false" ht="33.75" hidden="false" customHeight="true" outlineLevel="0" collapsed="false">
      <c r="A24" s="5" t="s">
        <v>295</v>
      </c>
      <c r="B24" s="5" t="n">
        <v>3</v>
      </c>
      <c r="C24" s="5" t="s">
        <v>476</v>
      </c>
      <c r="D24" s="5" t="s">
        <v>477</v>
      </c>
      <c r="E24" s="5" t="s">
        <v>240</v>
      </c>
      <c r="F24" s="5" t="n">
        <v>1600</v>
      </c>
      <c r="G24" s="5" t="s">
        <v>229</v>
      </c>
      <c r="H24" s="5" t="s">
        <v>478</v>
      </c>
    </row>
    <row r="25" customFormat="false" ht="33.75" hidden="false" customHeight="true" outlineLevel="0" collapsed="false">
      <c r="A25" s="5" t="s">
        <v>295</v>
      </c>
      <c r="B25" s="5" t="n">
        <v>3</v>
      </c>
      <c r="C25" s="5" t="s">
        <v>479</v>
      </c>
      <c r="D25" s="5" t="s">
        <v>480</v>
      </c>
      <c r="E25" s="5" t="s">
        <v>245</v>
      </c>
      <c r="F25" s="5" t="n">
        <v>1300</v>
      </c>
      <c r="G25" s="5" t="s">
        <v>229</v>
      </c>
      <c r="H25" s="5" t="s">
        <v>441</v>
      </c>
    </row>
    <row r="26" customFormat="false" ht="33.75" hidden="false" customHeight="true" outlineLevel="0" collapsed="false">
      <c r="A26" s="5" t="s">
        <v>295</v>
      </c>
      <c r="B26" s="5" t="n">
        <v>3</v>
      </c>
      <c r="C26" s="5" t="s">
        <v>481</v>
      </c>
      <c r="D26" s="5" t="s">
        <v>482</v>
      </c>
      <c r="E26" s="5" t="s">
        <v>267</v>
      </c>
      <c r="F26" s="5" t="n">
        <v>1400</v>
      </c>
      <c r="G26" s="5" t="s">
        <v>296</v>
      </c>
      <c r="H26" s="5" t="s">
        <v>483</v>
      </c>
    </row>
    <row r="27" customFormat="false" ht="33.75" hidden="false" customHeight="true" outlineLevel="0" collapsed="false">
      <c r="A27" s="5" t="s">
        <v>295</v>
      </c>
      <c r="B27" s="5" t="n">
        <v>4</v>
      </c>
      <c r="C27" s="5" t="s">
        <v>484</v>
      </c>
      <c r="D27" s="5" t="s">
        <v>485</v>
      </c>
      <c r="E27" s="5" t="s">
        <v>284</v>
      </c>
      <c r="F27" s="5" t="n">
        <v>1500</v>
      </c>
      <c r="G27" s="5" t="s">
        <v>229</v>
      </c>
      <c r="H27" s="5" t="s">
        <v>441</v>
      </c>
    </row>
    <row r="28" customFormat="false" ht="33.75" hidden="false" customHeight="true" outlineLevel="0" collapsed="false">
      <c r="A28" s="5" t="s">
        <v>295</v>
      </c>
      <c r="B28" s="5" t="n">
        <v>4</v>
      </c>
      <c r="C28" s="5" t="s">
        <v>486</v>
      </c>
      <c r="D28" s="5" t="s">
        <v>487</v>
      </c>
      <c r="E28" s="5" t="s">
        <v>302</v>
      </c>
      <c r="F28" s="5" t="n">
        <v>1300</v>
      </c>
      <c r="G28" s="5" t="s">
        <v>229</v>
      </c>
      <c r="H28" s="5" t="s">
        <v>441</v>
      </c>
    </row>
    <row r="29" customFormat="false" ht="33.75" hidden="false" customHeight="true" outlineLevel="0" collapsed="false">
      <c r="A29" s="5" t="s">
        <v>295</v>
      </c>
      <c r="B29" s="5" t="n">
        <v>4</v>
      </c>
      <c r="C29" s="5" t="s">
        <v>488</v>
      </c>
      <c r="D29" s="5" t="s">
        <v>489</v>
      </c>
      <c r="E29" s="5" t="s">
        <v>305</v>
      </c>
      <c r="F29" s="5" t="n">
        <v>1400</v>
      </c>
      <c r="G29" s="5" t="s">
        <v>296</v>
      </c>
      <c r="H29" s="5" t="s">
        <v>441</v>
      </c>
    </row>
    <row r="30" customFormat="false" ht="33.75" hidden="false" customHeight="true" outlineLevel="0" collapsed="false">
      <c r="A30" s="5" t="s">
        <v>295</v>
      </c>
      <c r="B30" s="5" t="n">
        <v>4</v>
      </c>
      <c r="C30" s="5" t="s">
        <v>490</v>
      </c>
      <c r="D30" s="5" t="s">
        <v>491</v>
      </c>
      <c r="E30" s="5" t="s">
        <v>298</v>
      </c>
      <c r="F30" s="5" t="n">
        <v>1400</v>
      </c>
      <c r="G30" s="5" t="s">
        <v>229</v>
      </c>
      <c r="H30" s="5" t="s">
        <v>441</v>
      </c>
    </row>
    <row r="31" customFormat="false" ht="33.75" hidden="false" customHeight="true" outlineLevel="0" collapsed="false">
      <c r="A31" s="5" t="s">
        <v>295</v>
      </c>
      <c r="B31" s="5" t="n">
        <v>5</v>
      </c>
      <c r="C31" s="5" t="s">
        <v>492</v>
      </c>
      <c r="D31" s="5" t="s">
        <v>493</v>
      </c>
      <c r="E31" s="5" t="s">
        <v>327</v>
      </c>
      <c r="F31" s="5" t="n">
        <v>1300</v>
      </c>
      <c r="G31" s="5" t="s">
        <v>229</v>
      </c>
      <c r="H31" s="5" t="s">
        <v>462</v>
      </c>
    </row>
    <row r="32" customFormat="false" ht="33.75" hidden="false" customHeight="true" outlineLevel="0" collapsed="false">
      <c r="A32" s="5" t="s">
        <v>295</v>
      </c>
      <c r="B32" s="5" t="n">
        <v>5</v>
      </c>
      <c r="C32" s="5" t="s">
        <v>494</v>
      </c>
      <c r="D32" s="5" t="s">
        <v>495</v>
      </c>
      <c r="E32" s="5" t="s">
        <v>336</v>
      </c>
      <c r="F32" s="5" t="n">
        <v>1400</v>
      </c>
      <c r="G32" s="5" t="s">
        <v>229</v>
      </c>
      <c r="H32" s="5" t="s">
        <v>496</v>
      </c>
    </row>
    <row r="33" customFormat="false" ht="33.75" hidden="false" customHeight="true" outlineLevel="0" collapsed="false">
      <c r="A33" s="5" t="s">
        <v>295</v>
      </c>
      <c r="B33" s="5" t="n">
        <v>5</v>
      </c>
      <c r="C33" s="5" t="s">
        <v>497</v>
      </c>
      <c r="D33" s="5" t="s">
        <v>498</v>
      </c>
      <c r="E33" s="5" t="s">
        <v>331</v>
      </c>
      <c r="F33" s="5" t="n">
        <v>1600</v>
      </c>
      <c r="G33" s="5" t="s">
        <v>229</v>
      </c>
      <c r="H33" s="5" t="s">
        <v>499</v>
      </c>
    </row>
    <row r="34" customFormat="false" ht="33.75" hidden="false" customHeight="true" outlineLevel="0" collapsed="false">
      <c r="A34" s="5" t="s">
        <v>295</v>
      </c>
      <c r="B34" s="5" t="n">
        <v>5</v>
      </c>
      <c r="C34" s="5" t="s">
        <v>500</v>
      </c>
      <c r="D34" s="5" t="s">
        <v>501</v>
      </c>
      <c r="E34" s="5" t="s">
        <v>339</v>
      </c>
      <c r="F34" s="5" t="n">
        <v>1500</v>
      </c>
      <c r="G34" s="5" t="s">
        <v>296</v>
      </c>
      <c r="H34" s="5" t="s">
        <v>441</v>
      </c>
    </row>
  </sheetData>
  <autoFilter ref="A4:H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54"/>
    <col collapsed="false" customWidth="true" hidden="false" outlineLevel="0" max="6" min="6" style="0" width="32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1" t="s">
        <v>502</v>
      </c>
    </row>
    <row r="2" customFormat="false" ht="15" hidden="false" customHeight="false" outlineLevel="0" collapsed="false">
      <c r="A2" s="2" t="s">
        <v>503</v>
      </c>
    </row>
    <row r="4" customFormat="false" ht="15" hidden="false" customHeight="false" outlineLevel="0" collapsed="false">
      <c r="A4" s="7" t="s">
        <v>504</v>
      </c>
      <c r="B4" s="7" t="s">
        <v>505</v>
      </c>
      <c r="C4" s="7" t="s">
        <v>76</v>
      </c>
      <c r="D4" s="7" t="s">
        <v>417</v>
      </c>
      <c r="E4" s="7" t="s">
        <v>419</v>
      </c>
      <c r="F4" s="7" t="s">
        <v>420</v>
      </c>
      <c r="G4" s="7" t="s">
        <v>506</v>
      </c>
      <c r="H4" s="7" t="s">
        <v>88</v>
      </c>
    </row>
    <row r="5" customFormat="false" ht="30" hidden="false" customHeight="true" outlineLevel="0" collapsed="false">
      <c r="A5" s="5" t="s">
        <v>507</v>
      </c>
      <c r="B5" s="8" t="n">
        <v>46132</v>
      </c>
      <c r="C5" s="5" t="n">
        <v>1</v>
      </c>
      <c r="D5" s="5" t="s">
        <v>508</v>
      </c>
      <c r="E5" s="5" t="s">
        <v>509</v>
      </c>
      <c r="F5" s="5" t="s">
        <v>91</v>
      </c>
      <c r="G5" s="5"/>
      <c r="H5" s="5" t="s">
        <v>96</v>
      </c>
    </row>
    <row r="6" customFormat="false" ht="30" hidden="false" customHeight="true" outlineLevel="0" collapsed="false">
      <c r="A6" s="5" t="s">
        <v>507</v>
      </c>
      <c r="B6" s="8" t="n">
        <v>46135</v>
      </c>
      <c r="C6" s="5" t="n">
        <v>3</v>
      </c>
      <c r="D6" s="5" t="s">
        <v>510</v>
      </c>
      <c r="E6" s="5" t="s">
        <v>426</v>
      </c>
      <c r="F6" s="5" t="s">
        <v>221</v>
      </c>
      <c r="G6" s="5"/>
      <c r="H6" s="5" t="s">
        <v>96</v>
      </c>
    </row>
    <row r="7" customFormat="false" ht="30" hidden="false" customHeight="true" outlineLevel="0" collapsed="false">
      <c r="A7" s="5" t="s">
        <v>511</v>
      </c>
      <c r="B7" s="8" t="n">
        <v>46139</v>
      </c>
      <c r="C7" s="5" t="n">
        <v>5</v>
      </c>
      <c r="D7" s="5" t="s">
        <v>512</v>
      </c>
      <c r="E7" s="5" t="s">
        <v>493</v>
      </c>
      <c r="F7" s="5" t="s">
        <v>327</v>
      </c>
      <c r="G7" s="5"/>
      <c r="H7" s="5" t="s">
        <v>96</v>
      </c>
    </row>
    <row r="8" customFormat="false" ht="30" hidden="false" customHeight="true" outlineLevel="0" collapsed="false">
      <c r="A8" s="5" t="s">
        <v>511</v>
      </c>
      <c r="B8" s="8" t="n">
        <v>46142</v>
      </c>
      <c r="C8" s="5" t="n">
        <v>2</v>
      </c>
      <c r="D8" s="5" t="s">
        <v>512</v>
      </c>
      <c r="E8" s="5" t="s">
        <v>461</v>
      </c>
      <c r="F8" s="5" t="s">
        <v>175</v>
      </c>
      <c r="G8" s="5"/>
      <c r="H8" s="5" t="s">
        <v>96</v>
      </c>
    </row>
    <row r="9" customFormat="false" ht="30" hidden="false" customHeight="true" outlineLevel="0" collapsed="false">
      <c r="A9" s="5" t="s">
        <v>513</v>
      </c>
      <c r="B9" s="8" t="n">
        <v>46146</v>
      </c>
      <c r="C9" s="5" t="n">
        <v>5</v>
      </c>
      <c r="D9" s="5" t="s">
        <v>510</v>
      </c>
      <c r="E9" s="5" t="s">
        <v>429</v>
      </c>
      <c r="F9" s="5" t="s">
        <v>314</v>
      </c>
      <c r="G9" s="5"/>
      <c r="H9" s="5" t="s">
        <v>96</v>
      </c>
    </row>
    <row r="10" customFormat="false" ht="30" hidden="false" customHeight="true" outlineLevel="0" collapsed="false">
      <c r="A10" s="5" t="s">
        <v>513</v>
      </c>
      <c r="B10" s="8" t="n">
        <v>46149</v>
      </c>
      <c r="C10" s="5" t="n">
        <v>3</v>
      </c>
      <c r="D10" s="5" t="s">
        <v>512</v>
      </c>
      <c r="E10" s="5" t="s">
        <v>480</v>
      </c>
      <c r="F10" s="5" t="s">
        <v>245</v>
      </c>
      <c r="G10" s="5"/>
      <c r="H10" s="5" t="s">
        <v>96</v>
      </c>
    </row>
    <row r="11" customFormat="false" ht="30" hidden="false" customHeight="true" outlineLevel="0" collapsed="false">
      <c r="A11" s="5" t="s">
        <v>514</v>
      </c>
      <c r="B11" s="8" t="n">
        <v>46153</v>
      </c>
      <c r="C11" s="5" t="n">
        <v>2</v>
      </c>
      <c r="D11" s="5" t="s">
        <v>512</v>
      </c>
      <c r="E11" s="5" t="s">
        <v>458</v>
      </c>
      <c r="F11" s="5" t="s">
        <v>170</v>
      </c>
      <c r="G11" s="5"/>
      <c r="H11" s="5" t="s">
        <v>96</v>
      </c>
    </row>
    <row r="12" customFormat="false" ht="30" hidden="false" customHeight="true" outlineLevel="0" collapsed="false">
      <c r="A12" s="5" t="s">
        <v>514</v>
      </c>
      <c r="B12" s="8" t="n">
        <v>46156</v>
      </c>
      <c r="C12" s="5" t="n">
        <v>1</v>
      </c>
      <c r="D12" s="5" t="s">
        <v>512</v>
      </c>
      <c r="E12" s="5" t="s">
        <v>440</v>
      </c>
      <c r="F12" s="5" t="s">
        <v>103</v>
      </c>
      <c r="G12" s="5"/>
      <c r="H12" s="5" t="s">
        <v>96</v>
      </c>
    </row>
    <row r="13" customFormat="false" ht="30" hidden="false" customHeight="true" outlineLevel="0" collapsed="false">
      <c r="A13" s="5" t="s">
        <v>515</v>
      </c>
      <c r="B13" s="8" t="n">
        <v>46160</v>
      </c>
      <c r="C13" s="5" t="n">
        <v>2</v>
      </c>
      <c r="D13" s="5" t="s">
        <v>512</v>
      </c>
      <c r="E13" s="5" t="s">
        <v>473</v>
      </c>
      <c r="F13" s="5" t="s">
        <v>200</v>
      </c>
      <c r="G13" s="5"/>
      <c r="H13" s="5" t="s">
        <v>96</v>
      </c>
    </row>
    <row r="14" customFormat="false" ht="30" hidden="false" customHeight="true" outlineLevel="0" collapsed="false">
      <c r="A14" s="5" t="s">
        <v>515</v>
      </c>
      <c r="B14" s="8" t="n">
        <v>46163</v>
      </c>
      <c r="C14" s="5" t="n">
        <v>2</v>
      </c>
      <c r="D14" s="5" t="s">
        <v>512</v>
      </c>
      <c r="E14" s="5" t="s">
        <v>466</v>
      </c>
      <c r="F14" s="5" t="s">
        <v>189</v>
      </c>
      <c r="G14" s="5"/>
      <c r="H14" s="5" t="s">
        <v>96</v>
      </c>
    </row>
    <row r="15" customFormat="false" ht="30" hidden="false" customHeight="true" outlineLevel="0" collapsed="false">
      <c r="A15" s="5" t="s">
        <v>516</v>
      </c>
      <c r="B15" s="8" t="n">
        <v>46167</v>
      </c>
      <c r="C15" s="5" t="n">
        <v>1</v>
      </c>
      <c r="D15" s="5" t="s">
        <v>512</v>
      </c>
      <c r="E15" s="5" t="s">
        <v>443</v>
      </c>
      <c r="F15" s="5" t="s">
        <v>109</v>
      </c>
      <c r="G15" s="5"/>
      <c r="H15" s="5" t="s">
        <v>96</v>
      </c>
    </row>
    <row r="16" customFormat="false" ht="30" hidden="false" customHeight="true" outlineLevel="0" collapsed="false">
      <c r="A16" s="5" t="s">
        <v>516</v>
      </c>
      <c r="B16" s="8" t="n">
        <v>46170</v>
      </c>
      <c r="C16" s="5" t="n">
        <v>4</v>
      </c>
      <c r="D16" s="5" t="s">
        <v>512</v>
      </c>
      <c r="E16" s="5" t="s">
        <v>485</v>
      </c>
      <c r="F16" s="5" t="s">
        <v>284</v>
      </c>
      <c r="G16" s="5"/>
      <c r="H16" s="5" t="s">
        <v>96</v>
      </c>
    </row>
    <row r="17" customFormat="false" ht="30" hidden="false" customHeight="true" outlineLevel="0" collapsed="false">
      <c r="A17" s="5" t="s">
        <v>517</v>
      </c>
      <c r="B17" s="8" t="n">
        <v>46174</v>
      </c>
      <c r="C17" s="5" t="n">
        <v>5</v>
      </c>
      <c r="D17" s="5" t="s">
        <v>512</v>
      </c>
      <c r="E17" s="5" t="s">
        <v>498</v>
      </c>
      <c r="F17" s="5" t="s">
        <v>331</v>
      </c>
      <c r="G17" s="5"/>
      <c r="H17" s="5" t="s">
        <v>96</v>
      </c>
    </row>
    <row r="18" customFormat="false" ht="30" hidden="false" customHeight="true" outlineLevel="0" collapsed="false">
      <c r="A18" s="5" t="s">
        <v>517</v>
      </c>
      <c r="B18" s="8" t="n">
        <v>46177</v>
      </c>
      <c r="C18" s="5" t="n">
        <v>2</v>
      </c>
      <c r="D18" s="5" t="s">
        <v>512</v>
      </c>
      <c r="E18" s="5" t="s">
        <v>464</v>
      </c>
      <c r="F18" s="5" t="s">
        <v>179</v>
      </c>
      <c r="G18" s="5"/>
      <c r="H18" s="5" t="s">
        <v>96</v>
      </c>
    </row>
    <row r="19" customFormat="false" ht="30" hidden="false" customHeight="true" outlineLevel="0" collapsed="false">
      <c r="A19" s="5" t="s">
        <v>518</v>
      </c>
      <c r="B19" s="8" t="n">
        <v>46181</v>
      </c>
      <c r="C19" s="5" t="n">
        <v>2</v>
      </c>
      <c r="D19" s="5" t="s">
        <v>512</v>
      </c>
      <c r="E19" s="5" t="s">
        <v>469</v>
      </c>
      <c r="F19" s="5" t="s">
        <v>194</v>
      </c>
      <c r="G19" s="5"/>
      <c r="H19" s="5" t="s">
        <v>96</v>
      </c>
    </row>
    <row r="20" customFormat="false" ht="30" hidden="false" customHeight="true" outlineLevel="0" collapsed="false">
      <c r="A20" s="5" t="s">
        <v>518</v>
      </c>
      <c r="B20" s="8" t="n">
        <v>46184</v>
      </c>
      <c r="C20" s="5" t="n">
        <v>1</v>
      </c>
      <c r="D20" s="5" t="s">
        <v>512</v>
      </c>
      <c r="E20" s="5" t="s">
        <v>453</v>
      </c>
      <c r="F20" s="5" t="s">
        <v>136</v>
      </c>
      <c r="G20" s="5"/>
      <c r="H20" s="5" t="s">
        <v>96</v>
      </c>
    </row>
    <row r="21" customFormat="false" ht="30" hidden="false" customHeight="true" outlineLevel="0" collapsed="false">
      <c r="A21" s="5" t="s">
        <v>519</v>
      </c>
      <c r="B21" s="8" t="n">
        <v>46188</v>
      </c>
      <c r="C21" s="5" t="n">
        <v>5</v>
      </c>
      <c r="D21" s="5" t="s">
        <v>512</v>
      </c>
      <c r="E21" s="5" t="s">
        <v>495</v>
      </c>
      <c r="F21" s="5" t="s">
        <v>336</v>
      </c>
      <c r="G21" s="5"/>
      <c r="H21" s="5" t="s">
        <v>96</v>
      </c>
    </row>
    <row r="22" customFormat="false" ht="30" hidden="false" customHeight="true" outlineLevel="0" collapsed="false">
      <c r="A22" s="5" t="s">
        <v>519</v>
      </c>
      <c r="B22" s="8" t="n">
        <v>46191</v>
      </c>
      <c r="C22" s="5" t="n">
        <v>1</v>
      </c>
      <c r="D22" s="5" t="s">
        <v>512</v>
      </c>
      <c r="E22" s="5" t="s">
        <v>446</v>
      </c>
      <c r="F22" s="5" t="s">
        <v>120</v>
      </c>
      <c r="G22" s="5"/>
      <c r="H22" s="5" t="s">
        <v>96</v>
      </c>
    </row>
    <row r="23" customFormat="false" ht="30" hidden="false" customHeight="true" outlineLevel="0" collapsed="false">
      <c r="A23" s="5" t="s">
        <v>520</v>
      </c>
      <c r="B23" s="8" t="n">
        <v>46195</v>
      </c>
      <c r="C23" s="5" t="n">
        <v>1</v>
      </c>
      <c r="D23" s="5" t="s">
        <v>512</v>
      </c>
      <c r="E23" s="5" t="s">
        <v>456</v>
      </c>
      <c r="F23" s="5" t="s">
        <v>146</v>
      </c>
      <c r="G23" s="5"/>
      <c r="H23" s="5" t="s">
        <v>96</v>
      </c>
    </row>
    <row r="24" customFormat="false" ht="30" hidden="false" customHeight="true" outlineLevel="0" collapsed="false">
      <c r="A24" s="5" t="s">
        <v>520</v>
      </c>
      <c r="B24" s="8" t="n">
        <v>46198</v>
      </c>
      <c r="C24" s="5" t="n">
        <v>1</v>
      </c>
      <c r="D24" s="5" t="s">
        <v>512</v>
      </c>
      <c r="E24" s="5" t="s">
        <v>450</v>
      </c>
      <c r="F24" s="5" t="s">
        <v>141</v>
      </c>
      <c r="G24" s="5"/>
      <c r="H24" s="5" t="s">
        <v>96</v>
      </c>
    </row>
    <row r="25" customFormat="false" ht="30" hidden="false" customHeight="true" outlineLevel="0" collapsed="false">
      <c r="A25" s="5" t="s">
        <v>521</v>
      </c>
      <c r="B25" s="8" t="n">
        <v>46202</v>
      </c>
      <c r="C25" s="5" t="n">
        <v>4</v>
      </c>
      <c r="D25" s="5" t="s">
        <v>512</v>
      </c>
      <c r="E25" s="5" t="s">
        <v>487</v>
      </c>
      <c r="F25" s="5" t="s">
        <v>302</v>
      </c>
      <c r="G25" s="5"/>
      <c r="H25" s="5" t="s">
        <v>96</v>
      </c>
    </row>
    <row r="26" customFormat="false" ht="30" hidden="false" customHeight="true" outlineLevel="0" collapsed="false">
      <c r="A26" s="5" t="s">
        <v>521</v>
      </c>
      <c r="B26" s="8" t="n">
        <v>46205</v>
      </c>
      <c r="C26" s="5" t="n">
        <v>4</v>
      </c>
      <c r="D26" s="5" t="s">
        <v>512</v>
      </c>
      <c r="E26" s="5" t="s">
        <v>491</v>
      </c>
      <c r="F26" s="5" t="s">
        <v>298</v>
      </c>
      <c r="G26" s="5"/>
      <c r="H26" s="5" t="s">
        <v>96</v>
      </c>
    </row>
    <row r="27" customFormat="false" ht="30" hidden="false" customHeight="true" outlineLevel="0" collapsed="false">
      <c r="A27" s="5" t="s">
        <v>522</v>
      </c>
      <c r="B27" s="8" t="n">
        <v>46209</v>
      </c>
      <c r="C27" s="5" t="n">
        <v>3</v>
      </c>
      <c r="D27" s="5" t="s">
        <v>512</v>
      </c>
      <c r="E27" s="5" t="s">
        <v>477</v>
      </c>
      <c r="F27" s="5" t="s">
        <v>240</v>
      </c>
      <c r="G27" s="5"/>
      <c r="H27" s="5" t="s">
        <v>96</v>
      </c>
    </row>
    <row r="28" customFormat="false" ht="30" hidden="false" customHeight="true" outlineLevel="0" collapsed="false">
      <c r="A28" s="5" t="s">
        <v>522</v>
      </c>
      <c r="B28" s="8" t="n">
        <v>46212</v>
      </c>
      <c r="C28" s="5" t="n">
        <v>1</v>
      </c>
      <c r="D28" s="5" t="s">
        <v>512</v>
      </c>
      <c r="E28" s="5" t="s">
        <v>448</v>
      </c>
      <c r="F28" s="5" t="s">
        <v>125</v>
      </c>
      <c r="G28" s="5"/>
      <c r="H28" s="5" t="s">
        <v>96</v>
      </c>
    </row>
    <row r="29" customFormat="false" ht="30" hidden="false" customHeight="true" outlineLevel="0" collapsed="false">
      <c r="A29" s="5" t="s">
        <v>523</v>
      </c>
      <c r="B29" s="8" t="n">
        <v>46216</v>
      </c>
      <c r="C29" s="5" t="n">
        <v>3</v>
      </c>
      <c r="D29" s="5" t="s">
        <v>512</v>
      </c>
      <c r="E29" s="5" t="s">
        <v>482</v>
      </c>
      <c r="F29" s="5" t="s">
        <v>267</v>
      </c>
      <c r="G29" s="5"/>
      <c r="H29" s="5" t="s">
        <v>96</v>
      </c>
    </row>
    <row r="30" customFormat="false" ht="30" hidden="false" customHeight="true" outlineLevel="0" collapsed="false">
      <c r="A30" s="5" t="s">
        <v>523</v>
      </c>
      <c r="B30" s="8" t="n">
        <v>46219</v>
      </c>
      <c r="C30" s="5" t="n">
        <v>4</v>
      </c>
      <c r="D30" s="5" t="s">
        <v>512</v>
      </c>
      <c r="E30" s="5" t="s">
        <v>489</v>
      </c>
      <c r="F30" s="5" t="s">
        <v>305</v>
      </c>
      <c r="G30" s="5"/>
      <c r="H30" s="5" t="s">
        <v>96</v>
      </c>
    </row>
  </sheetData>
  <autoFilter ref="A4:H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0"/>
  </cols>
  <sheetData>
    <row r="1" customFormat="false" ht="19.7" hidden="false" customHeight="false" outlineLevel="0" collapsed="false">
      <c r="A1" s="1" t="s">
        <v>524</v>
      </c>
    </row>
    <row r="2" customFormat="false" ht="15" hidden="false" customHeight="false" outlineLevel="0" collapsed="false">
      <c r="A2" s="2" t="s">
        <v>525</v>
      </c>
    </row>
    <row r="4" customFormat="false" ht="15" hidden="false" customHeight="true" outlineLevel="0" collapsed="false">
      <c r="A4" s="3" t="s">
        <v>526</v>
      </c>
      <c r="B4" s="3"/>
    </row>
    <row r="5" customFormat="false" ht="36" hidden="false" customHeight="true" outlineLevel="0" collapsed="false">
      <c r="A5" s="9" t="s">
        <v>527</v>
      </c>
      <c r="B5" s="5" t="s">
        <v>528</v>
      </c>
    </row>
    <row r="6" customFormat="false" ht="36" hidden="false" customHeight="true" outlineLevel="0" collapsed="false">
      <c r="A6" s="9" t="s">
        <v>527</v>
      </c>
      <c r="B6" s="5" t="s">
        <v>529</v>
      </c>
    </row>
    <row r="7" customFormat="false" ht="36" hidden="false" customHeight="true" outlineLevel="0" collapsed="false">
      <c r="A7" s="9" t="s">
        <v>527</v>
      </c>
      <c r="B7" s="5" t="s">
        <v>530</v>
      </c>
    </row>
    <row r="8" customFormat="false" ht="36" hidden="false" customHeight="true" outlineLevel="0" collapsed="false">
      <c r="A8" s="9" t="s">
        <v>527</v>
      </c>
      <c r="B8" s="5" t="s">
        <v>531</v>
      </c>
    </row>
    <row r="10" customFormat="false" ht="15" hidden="false" customHeight="true" outlineLevel="0" collapsed="false">
      <c r="A10" s="3" t="s">
        <v>532</v>
      </c>
      <c r="B10" s="3"/>
    </row>
    <row r="11" customFormat="false" ht="36" hidden="false" customHeight="true" outlineLevel="0" collapsed="false">
      <c r="A11" s="9" t="s">
        <v>527</v>
      </c>
      <c r="B11" s="5" t="s">
        <v>533</v>
      </c>
    </row>
    <row r="12" customFormat="false" ht="36" hidden="false" customHeight="true" outlineLevel="0" collapsed="false">
      <c r="A12" s="9" t="s">
        <v>527</v>
      </c>
      <c r="B12" s="5" t="s">
        <v>534</v>
      </c>
    </row>
    <row r="13" customFormat="false" ht="36" hidden="false" customHeight="true" outlineLevel="0" collapsed="false">
      <c r="A13" s="9" t="s">
        <v>527</v>
      </c>
      <c r="B13" s="5" t="s">
        <v>535</v>
      </c>
    </row>
    <row r="14" customFormat="false" ht="36" hidden="false" customHeight="true" outlineLevel="0" collapsed="false">
      <c r="A14" s="9" t="s">
        <v>527</v>
      </c>
      <c r="B14" s="5" t="s">
        <v>536</v>
      </c>
    </row>
    <row r="16" customFormat="false" ht="15" hidden="false" customHeight="true" outlineLevel="0" collapsed="false">
      <c r="A16" s="3" t="s">
        <v>537</v>
      </c>
      <c r="B16" s="3"/>
    </row>
    <row r="17" customFormat="false" ht="36" hidden="false" customHeight="true" outlineLevel="0" collapsed="false">
      <c r="A17" s="9" t="s">
        <v>527</v>
      </c>
      <c r="B17" s="5" t="s">
        <v>538</v>
      </c>
    </row>
    <row r="18" customFormat="false" ht="36" hidden="false" customHeight="true" outlineLevel="0" collapsed="false">
      <c r="A18" s="9" t="s">
        <v>527</v>
      </c>
      <c r="B18" s="5" t="s">
        <v>539</v>
      </c>
    </row>
    <row r="19" customFormat="false" ht="36" hidden="false" customHeight="true" outlineLevel="0" collapsed="false">
      <c r="A19" s="9" t="s">
        <v>527</v>
      </c>
      <c r="B19" s="5" t="s">
        <v>540</v>
      </c>
    </row>
    <row r="20" customFormat="false" ht="36" hidden="false" customHeight="true" outlineLevel="0" collapsed="false">
      <c r="A20" s="9" t="s">
        <v>527</v>
      </c>
      <c r="B20" s="5" t="s">
        <v>541</v>
      </c>
    </row>
    <row r="22" customFormat="false" ht="15" hidden="false" customHeight="true" outlineLevel="0" collapsed="false">
      <c r="A22" s="3" t="s">
        <v>542</v>
      </c>
      <c r="B22" s="3"/>
    </row>
    <row r="23" customFormat="false" ht="36" hidden="false" customHeight="true" outlineLevel="0" collapsed="false">
      <c r="A23" s="9" t="s">
        <v>527</v>
      </c>
      <c r="B23" s="5" t="s">
        <v>543</v>
      </c>
    </row>
    <row r="24" customFormat="false" ht="36" hidden="false" customHeight="true" outlineLevel="0" collapsed="false">
      <c r="A24" s="9" t="s">
        <v>527</v>
      </c>
      <c r="B24" s="5" t="s">
        <v>544</v>
      </c>
    </row>
    <row r="25" customFormat="false" ht="36" hidden="false" customHeight="true" outlineLevel="0" collapsed="false">
      <c r="A25" s="9" t="s">
        <v>527</v>
      </c>
      <c r="B25" s="5" t="s">
        <v>545</v>
      </c>
    </row>
    <row r="26" customFormat="false" ht="36" hidden="false" customHeight="true" outlineLevel="0" collapsed="false">
      <c r="A26" s="9" t="s">
        <v>527</v>
      </c>
      <c r="B26" s="5" t="s">
        <v>546</v>
      </c>
    </row>
    <row r="28" customFormat="false" ht="15" hidden="false" customHeight="true" outlineLevel="0" collapsed="false">
      <c r="A28" s="3" t="s">
        <v>547</v>
      </c>
      <c r="B28" s="3"/>
    </row>
    <row r="29" customFormat="false" ht="36" hidden="false" customHeight="true" outlineLevel="0" collapsed="false">
      <c r="A29" s="9" t="s">
        <v>527</v>
      </c>
      <c r="B29" s="5" t="s">
        <v>548</v>
      </c>
    </row>
    <row r="30" customFormat="false" ht="36" hidden="false" customHeight="true" outlineLevel="0" collapsed="false">
      <c r="A30" s="9" t="s">
        <v>527</v>
      </c>
      <c r="B30" s="5" t="s">
        <v>549</v>
      </c>
    </row>
    <row r="31" customFormat="false" ht="36" hidden="false" customHeight="true" outlineLevel="0" collapsed="false">
      <c r="A31" s="9" t="s">
        <v>527</v>
      </c>
      <c r="B31" s="5" t="s">
        <v>550</v>
      </c>
    </row>
    <row r="32" customFormat="false" ht="36" hidden="false" customHeight="true" outlineLevel="0" collapsed="false">
      <c r="A32" s="9" t="s">
        <v>527</v>
      </c>
      <c r="B32" s="5" t="s">
        <v>551</v>
      </c>
    </row>
  </sheetData>
  <mergeCells count="5">
    <mergeCell ref="A4:B4"/>
    <mergeCell ref="A10:B10"/>
    <mergeCell ref="A16:B16"/>
    <mergeCell ref="A22:B22"/>
    <mergeCell ref="A28:B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2"/>
    <col collapsed="false" customWidth="true" hidden="false" outlineLevel="0" max="3" min="3" style="0" width="80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9.7" hidden="false" customHeight="false" outlineLevel="0" collapsed="false">
      <c r="A1" s="1" t="s">
        <v>552</v>
      </c>
    </row>
    <row r="2" customFormat="false" ht="15" hidden="false" customHeight="false" outlineLevel="0" collapsed="false">
      <c r="A2" s="2" t="s">
        <v>553</v>
      </c>
    </row>
    <row r="4" customFormat="false" ht="26.85" hidden="false" customHeight="false" outlineLevel="0" collapsed="false">
      <c r="A4" s="7" t="s">
        <v>554</v>
      </c>
      <c r="B4" s="7" t="s">
        <v>555</v>
      </c>
      <c r="C4" s="7" t="s">
        <v>556</v>
      </c>
      <c r="D4" s="7" t="s">
        <v>557</v>
      </c>
      <c r="E4" s="7" t="s">
        <v>422</v>
      </c>
    </row>
    <row r="5" customFormat="false" ht="51.75" hidden="false" customHeight="true" outlineLevel="0" collapsed="false">
      <c r="A5" s="5" t="s">
        <v>44</v>
      </c>
      <c r="B5" s="5" t="s">
        <v>91</v>
      </c>
      <c r="C5" s="5" t="s">
        <v>558</v>
      </c>
      <c r="D5" s="5" t="s">
        <v>559</v>
      </c>
      <c r="E5" s="5" t="s">
        <v>229</v>
      </c>
    </row>
    <row r="6" customFormat="false" ht="51.75" hidden="false" customHeight="true" outlineLevel="0" collapsed="false">
      <c r="A6" s="5" t="s">
        <v>50</v>
      </c>
      <c r="B6" s="5" t="s">
        <v>161</v>
      </c>
      <c r="C6" s="5" t="s">
        <v>560</v>
      </c>
      <c r="D6" s="5" t="s">
        <v>561</v>
      </c>
      <c r="E6" s="5" t="s">
        <v>229</v>
      </c>
    </row>
    <row r="7" customFormat="false" ht="51.75" hidden="false" customHeight="true" outlineLevel="0" collapsed="false">
      <c r="A7" s="5" t="s">
        <v>277</v>
      </c>
      <c r="B7" s="5" t="s">
        <v>276</v>
      </c>
      <c r="C7" s="5" t="s">
        <v>562</v>
      </c>
      <c r="D7" s="5" t="s">
        <v>559</v>
      </c>
      <c r="E7" s="5" t="s">
        <v>229</v>
      </c>
    </row>
    <row r="8" customFormat="false" ht="51.75" hidden="false" customHeight="true" outlineLevel="0" collapsed="false">
      <c r="A8" s="5" t="s">
        <v>289</v>
      </c>
      <c r="B8" s="5" t="s">
        <v>288</v>
      </c>
      <c r="C8" s="5" t="s">
        <v>563</v>
      </c>
      <c r="D8" s="5" t="s">
        <v>559</v>
      </c>
      <c r="E8" s="5" t="s">
        <v>229</v>
      </c>
    </row>
    <row r="9" customFormat="false" ht="51.75" hidden="false" customHeight="true" outlineLevel="0" collapsed="false">
      <c r="A9" s="5" t="s">
        <v>232</v>
      </c>
      <c r="B9" s="5" t="s">
        <v>231</v>
      </c>
      <c r="C9" s="5" t="s">
        <v>564</v>
      </c>
      <c r="D9" s="5" t="s">
        <v>565</v>
      </c>
      <c r="E9" s="5" t="s">
        <v>229</v>
      </c>
    </row>
    <row r="10" customFormat="false" ht="51.75" hidden="false" customHeight="true" outlineLevel="0" collapsed="false">
      <c r="A10" s="5" t="s">
        <v>237</v>
      </c>
      <c r="B10" s="5" t="s">
        <v>236</v>
      </c>
      <c r="C10" s="5" t="s">
        <v>566</v>
      </c>
      <c r="D10" s="5" t="s">
        <v>565</v>
      </c>
      <c r="E10" s="5" t="s">
        <v>229</v>
      </c>
    </row>
    <row r="11" customFormat="false" ht="51.75" hidden="false" customHeight="true" outlineLevel="0" collapsed="false">
      <c r="A11" s="5" t="s">
        <v>324</v>
      </c>
      <c r="B11" s="5" t="s">
        <v>323</v>
      </c>
      <c r="C11" s="5" t="s">
        <v>567</v>
      </c>
      <c r="D11" s="5" t="s">
        <v>568</v>
      </c>
      <c r="E11" s="5" t="s">
        <v>229</v>
      </c>
    </row>
    <row r="12" customFormat="false" ht="51.75" hidden="false" customHeight="true" outlineLevel="0" collapsed="false">
      <c r="A12" s="5" t="s">
        <v>250</v>
      </c>
      <c r="B12" s="5" t="s">
        <v>249</v>
      </c>
      <c r="C12" s="5" t="s">
        <v>569</v>
      </c>
      <c r="D12" s="5" t="s">
        <v>568</v>
      </c>
      <c r="E12" s="5" t="s">
        <v>229</v>
      </c>
    </row>
    <row r="13" customFormat="false" ht="51.75" hidden="false" customHeight="true" outlineLevel="0" collapsed="false">
      <c r="A13" s="5" t="s">
        <v>259</v>
      </c>
      <c r="B13" s="5" t="s">
        <v>258</v>
      </c>
      <c r="C13" s="5" t="s">
        <v>570</v>
      </c>
      <c r="D13" s="5" t="s">
        <v>568</v>
      </c>
      <c r="E13" s="5" t="s">
        <v>296</v>
      </c>
    </row>
    <row r="14" customFormat="false" ht="51.75" hidden="false" customHeight="true" outlineLevel="0" collapsed="false">
      <c r="A14" s="5" t="s">
        <v>152</v>
      </c>
      <c r="B14" s="5" t="s">
        <v>151</v>
      </c>
      <c r="C14" s="5" t="s">
        <v>571</v>
      </c>
      <c r="D14" s="5" t="s">
        <v>565</v>
      </c>
      <c r="E14" s="5" t="s">
        <v>296</v>
      </c>
    </row>
    <row r="15" customFormat="false" ht="51.75" hidden="false" customHeight="true" outlineLevel="0" collapsed="false">
      <c r="A15" s="5" t="s">
        <v>132</v>
      </c>
      <c r="B15" s="5" t="s">
        <v>130</v>
      </c>
      <c r="C15" s="5" t="s">
        <v>572</v>
      </c>
      <c r="D15" s="5" t="s">
        <v>568</v>
      </c>
      <c r="E15" s="5" t="s">
        <v>229</v>
      </c>
    </row>
    <row r="16" customFormat="false" ht="51.75" hidden="false" customHeight="true" outlineLevel="0" collapsed="false">
      <c r="A16" s="5" t="s">
        <v>573</v>
      </c>
      <c r="B16" s="5" t="s">
        <v>574</v>
      </c>
      <c r="C16" s="5" t="s">
        <v>575</v>
      </c>
      <c r="D16" s="5" t="s">
        <v>565</v>
      </c>
      <c r="E16" s="5" t="s">
        <v>296</v>
      </c>
    </row>
    <row r="17" customFormat="false" ht="51.75" hidden="false" customHeight="true" outlineLevel="0" collapsed="false">
      <c r="A17" s="5" t="s">
        <v>380</v>
      </c>
      <c r="B17" s="5" t="s">
        <v>576</v>
      </c>
      <c r="C17" s="5" t="s">
        <v>577</v>
      </c>
      <c r="D17" s="5" t="s">
        <v>565</v>
      </c>
      <c r="E17" s="5" t="s">
        <v>296</v>
      </c>
    </row>
    <row r="18" customFormat="false" ht="51.75" hidden="false" customHeight="true" outlineLevel="0" collapsed="false">
      <c r="A18" s="5" t="s">
        <v>578</v>
      </c>
      <c r="B18" s="5" t="s">
        <v>579</v>
      </c>
      <c r="C18" s="5" t="s">
        <v>580</v>
      </c>
      <c r="D18" s="5" t="s">
        <v>561</v>
      </c>
      <c r="E18" s="5" t="s">
        <v>229</v>
      </c>
    </row>
  </sheetData>
  <autoFilter ref="A4:E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2026-04-14T14:38:06Z</dcterms:created>
  <dc:creator>openpyxl</dc:creator>
  <dc:description/>
  <dc:language>en-US</dc:language>
  <cp:lastModifiedBy/>
  <dcterms:modified xsi:type="dcterms:W3CDTF">2026-04-14T14:38:06Z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